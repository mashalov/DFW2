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asha\source\repos\DFW2\Docs\"/>
    </mc:Choice>
  </mc:AlternateContent>
  <xr:revisionPtr revIDLastSave="0" documentId="13_ncr:1_{237CFBB4-C451-4EB9-A17B-8EA9355301A0}" xr6:coauthVersionLast="47" xr6:coauthVersionMax="47" xr10:uidLastSave="{00000000-0000-0000-0000-000000000000}"/>
  <bookViews>
    <workbookView xWindow="-120" yWindow="-120" windowWidth="29040" windowHeight="15990" xr2:uid="{D7A50761-0231-420A-B7FB-6D843C7720F7}"/>
  </bookViews>
  <sheets>
    <sheet name="Лист1" sheetId="1" r:id="rId1"/>
  </sheets>
  <functionGroups builtInGroupCount="19"/>
  <definedNames>
    <definedName name="_xlnm._FilterDatabase" localSheetId="0" hidden="1">Лист1!$A$1:$AM$288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85" i="1" l="1" a="1"/>
  <c r="AO66" i="1" a="1"/>
  <c r="AO130" i="1" a="1"/>
  <c r="AO47" i="1" a="1"/>
  <c r="AO111" i="1" a="1"/>
  <c r="AO36" i="1" a="1"/>
  <c r="AO100" i="1" a="1"/>
  <c r="AO164" i="1" a="1"/>
  <c r="AO81" i="1" a="1"/>
  <c r="AO145" i="1" a="1"/>
  <c r="AO56" i="1" a="1"/>
  <c r="AO120" i="1" a="1"/>
  <c r="AO75" i="1" a="1"/>
  <c r="AO199" i="1" a="1"/>
  <c r="AO263" i="1" a="1"/>
  <c r="AO188" i="1" a="1"/>
  <c r="AO51" i="1" a="1"/>
  <c r="AO201" i="1" a="1"/>
  <c r="AO265" i="1" a="1"/>
  <c r="AO190" i="1" a="1"/>
  <c r="AO254" i="1" a="1"/>
  <c r="AO187" i="1" a="1"/>
  <c r="AO54" i="1" a="1"/>
  <c r="AO200" i="1" a="1"/>
  <c r="AO35" i="1" a="1"/>
  <c r="AO197" i="1" a="1"/>
  <c r="AO261" i="1" a="1"/>
  <c r="AO94" i="1" a="1"/>
  <c r="AO286" i="1" a="1"/>
  <c r="AO202" i="1" a="1"/>
  <c r="AO252" i="1" a="1"/>
  <c r="AO194" i="1" a="1"/>
  <c r="AO27" i="1" a="1"/>
  <c r="AO21" i="1" a="1"/>
  <c r="AO14" i="1" a="1"/>
  <c r="AG7" i="1" a="1"/>
  <c r="AG61" i="1" a="1"/>
  <c r="AG125" i="1" a="1"/>
  <c r="AG2" i="1" a="1"/>
  <c r="AG80" i="1" a="1"/>
  <c r="AG144" i="1" a="1"/>
  <c r="AG20" i="1" a="1"/>
  <c r="AG83" i="1" a="1"/>
  <c r="AG147" i="1" a="1"/>
  <c r="AG31" i="1" a="1"/>
  <c r="AG86" i="1" a="1"/>
  <c r="AG150" i="1" a="1"/>
  <c r="AG26" i="1" a="1"/>
  <c r="AG89" i="1" a="1"/>
  <c r="AG153" i="1" a="1"/>
  <c r="AG55" i="1" a="1"/>
  <c r="AG119" i="1" a="1"/>
  <c r="AG124" i="1" a="1"/>
  <c r="AG221" i="1" a="1"/>
  <c r="AG285" i="1" a="1"/>
  <c r="AG189" i="1" a="1"/>
  <c r="AG256" i="1" a="1"/>
  <c r="AG84" i="1" a="1"/>
  <c r="AG227" i="1" a="1"/>
  <c r="AG4" i="1" a="1"/>
  <c r="AG195" i="1" a="1"/>
  <c r="AG254" i="1" a="1"/>
  <c r="AG76" i="1" a="1"/>
  <c r="AG217" i="1" a="1"/>
  <c r="AG281" i="1" a="1"/>
  <c r="AG207" i="1" a="1"/>
  <c r="AG271" i="1" a="1"/>
  <c r="AG122" i="1" a="1"/>
  <c r="AG90" i="1" a="1"/>
  <c r="AG228" i="1" a="1"/>
  <c r="AG274" i="1" a="1"/>
  <c r="AG191" i="1" a="1"/>
  <c r="AG275" i="1" a="1"/>
  <c r="AG255" i="1" a="1"/>
  <c r="AO29" i="1" a="1"/>
  <c r="AO93" i="1" a="1"/>
  <c r="AO74" i="1" a="1"/>
  <c r="AO138" i="1" a="1"/>
  <c r="AO55" i="1" a="1"/>
  <c r="AO119" i="1" a="1"/>
  <c r="AO44" i="1" a="1"/>
  <c r="AO108" i="1" a="1"/>
  <c r="AO172" i="1" a="1"/>
  <c r="AO89" i="1" a="1"/>
  <c r="AO153" i="1" a="1"/>
  <c r="AO64" i="1" a="1"/>
  <c r="AO128" i="1" a="1"/>
  <c r="AO107" i="1" a="1"/>
  <c r="AO207" i="1" a="1"/>
  <c r="AO38" i="1" a="1"/>
  <c r="AO196" i="1" a="1"/>
  <c r="AO83" i="1" a="1"/>
  <c r="AO209" i="1" a="1"/>
  <c r="AO273" i="1" a="1"/>
  <c r="AO198" i="1" a="1"/>
  <c r="AO59" i="1" a="1"/>
  <c r="AO195" i="1" a="1"/>
  <c r="AO86" i="1" a="1"/>
  <c r="AO208" i="1" a="1"/>
  <c r="AO67" i="1" a="1"/>
  <c r="AO205" i="1" a="1"/>
  <c r="AO269" i="1" a="1"/>
  <c r="AO133" i="1" a="1"/>
  <c r="AO142" i="1" a="1"/>
  <c r="AO259" i="1" a="1"/>
  <c r="AO267" i="1" a="1"/>
  <c r="AO274" i="1" a="1"/>
  <c r="AO8" i="1" a="1"/>
  <c r="AO10" i="1" a="1"/>
  <c r="AO4" i="1" a="1"/>
  <c r="AG14" i="1" a="1"/>
  <c r="AG69" i="1" a="1"/>
  <c r="AG133" i="1" a="1"/>
  <c r="AG10" i="1" a="1"/>
  <c r="AG88" i="1" a="1"/>
  <c r="AG152" i="1" a="1"/>
  <c r="AG28" i="1" a="1"/>
  <c r="AG91" i="1" a="1"/>
  <c r="AG155" i="1" a="1"/>
  <c r="AG37" i="1" a="1"/>
  <c r="AG94" i="1" a="1"/>
  <c r="AG158" i="1" a="1"/>
  <c r="AG32" i="1" a="1"/>
  <c r="AG97" i="1" a="1"/>
  <c r="AG168" i="1" a="1"/>
  <c r="AG63" i="1" a="1"/>
  <c r="AG127" i="1" a="1"/>
  <c r="AG154" i="1" a="1"/>
  <c r="AG229" i="1" a="1"/>
  <c r="AG41" i="1" a="1"/>
  <c r="AG197" i="1" a="1"/>
  <c r="AG264" i="1" a="1"/>
  <c r="AG116" i="1" a="1"/>
  <c r="AG235" i="1" a="1"/>
  <c r="AG33" i="1" a="1"/>
  <c r="AG203" i="1" a="1"/>
  <c r="AG262" i="1" a="1"/>
  <c r="AG108" i="1" a="1"/>
  <c r="AG225" i="1" a="1"/>
  <c r="AG29" i="1" a="1"/>
  <c r="AG215" i="1" a="1"/>
  <c r="AG279" i="1" a="1"/>
  <c r="AG210" i="1" a="1"/>
  <c r="AG252" i="1" a="1"/>
  <c r="AG169" i="1" a="1"/>
  <c r="AG266" i="1" a="1"/>
  <c r="AO37" i="1" a="1"/>
  <c r="AO101" i="1" a="1"/>
  <c r="AO82" i="1" a="1"/>
  <c r="AO146" i="1" a="1"/>
  <c r="AO63" i="1" a="1"/>
  <c r="AO127" i="1" a="1"/>
  <c r="AO52" i="1" a="1"/>
  <c r="AO116" i="1" a="1"/>
  <c r="AO33" i="1" a="1"/>
  <c r="AO97" i="1" a="1"/>
  <c r="AO161" i="1" a="1"/>
  <c r="AO72" i="1" a="1"/>
  <c r="AO136" i="1" a="1"/>
  <c r="AO125" i="1" a="1"/>
  <c r="AO215" i="1" a="1"/>
  <c r="AO70" i="1" a="1"/>
  <c r="AO204" i="1" a="1"/>
  <c r="AO118" i="1" a="1"/>
  <c r="AO217" i="1" a="1"/>
  <c r="AO46" i="1" a="1"/>
  <c r="AO206" i="1" a="1"/>
  <c r="AO91" i="1" a="1"/>
  <c r="AO203" i="1" a="1"/>
  <c r="AO115" i="1" a="1"/>
  <c r="AO216" i="1" a="1"/>
  <c r="AO99" i="1" a="1"/>
  <c r="AO213" i="1" a="1"/>
  <c r="AO163" i="1" a="1"/>
  <c r="AO210" i="1" a="1"/>
  <c r="AO226" i="1" a="1"/>
  <c r="AO271" i="1" a="1"/>
  <c r="AO282" i="1" a="1"/>
  <c r="AO276" i="1" a="1"/>
  <c r="AO16" i="1" a="1"/>
  <c r="AO18" i="1" a="1"/>
  <c r="AO12" i="1" a="1"/>
  <c r="AG22" i="1" a="1"/>
  <c r="AG77" i="1" a="1"/>
  <c r="AG141" i="1" a="1"/>
  <c r="AG17" i="1" a="1"/>
  <c r="AG96" i="1" a="1"/>
  <c r="AG160" i="1" a="1"/>
  <c r="AG34" i="1" a="1"/>
  <c r="AG99" i="1" a="1"/>
  <c r="AG162" i="1" a="1"/>
  <c r="AG45" i="1" a="1"/>
  <c r="AG102" i="1" a="1"/>
  <c r="AG165" i="1" a="1"/>
  <c r="AG40" i="1" a="1"/>
  <c r="AG105" i="1" a="1"/>
  <c r="AG176" i="1" a="1"/>
  <c r="AG71" i="1" a="1"/>
  <c r="AG135" i="1" a="1"/>
  <c r="AG174" i="1" a="1"/>
  <c r="AG237" i="1" a="1"/>
  <c r="AG50" i="1" a="1"/>
  <c r="AG208" i="1" a="1"/>
  <c r="AG272" i="1" a="1"/>
  <c r="AG148" i="1" a="1"/>
  <c r="AG243" i="1" a="1"/>
  <c r="AG74" i="1" a="1"/>
  <c r="AG206" i="1" a="1"/>
  <c r="AG270" i="1" a="1"/>
  <c r="AG140" i="1" a="1"/>
  <c r="AG233" i="1" a="1"/>
  <c r="AG68" i="1" a="1"/>
  <c r="AG223" i="1" a="1"/>
  <c r="AG287" i="1" a="1"/>
  <c r="AG258" i="1" a="1"/>
  <c r="AG250" i="1" a="1"/>
  <c r="AG284" i="1" a="1"/>
  <c r="AG66" i="1" a="1"/>
  <c r="AG60" i="1" a="1"/>
  <c r="AG236" i="1" a="1"/>
  <c r="AO45" i="1" a="1"/>
  <c r="AO109" i="1" a="1"/>
  <c r="AO90" i="1" a="1"/>
  <c r="AO154" i="1" a="1"/>
  <c r="AO71" i="1" a="1"/>
  <c r="AO135" i="1" a="1"/>
  <c r="AO60" i="1" a="1"/>
  <c r="AO124" i="1" a="1"/>
  <c r="AO41" i="1" a="1"/>
  <c r="AO105" i="1" a="1"/>
  <c r="AO169" i="1" a="1"/>
  <c r="AO80" i="1" a="1"/>
  <c r="AO144" i="1" a="1"/>
  <c r="AO134" i="1" a="1"/>
  <c r="AO223" i="1" a="1"/>
  <c r="AO102" i="1" a="1"/>
  <c r="AO212" i="1" a="1"/>
  <c r="AO139" i="1" a="1"/>
  <c r="AO225" i="1" a="1"/>
  <c r="AO78" i="1" a="1"/>
  <c r="AO214" i="1" a="1"/>
  <c r="AO123" i="1" a="1"/>
  <c r="AO211" i="1" a="1"/>
  <c r="AO149" i="1" a="1"/>
  <c r="AO224" i="1" a="1"/>
  <c r="AO141" i="1" a="1"/>
  <c r="AO221" i="1" a="1"/>
  <c r="AO234" i="1" a="1"/>
  <c r="AO250" i="1" a="1"/>
  <c r="AO251" i="1" a="1"/>
  <c r="AO277" i="1" a="1"/>
  <c r="AO266" i="1" a="1"/>
  <c r="AO284" i="1" a="1"/>
  <c r="AO24" i="1" a="1"/>
  <c r="AO26" i="1" a="1"/>
  <c r="AO20" i="1" a="1"/>
  <c r="AG30" i="1" a="1"/>
  <c r="AG85" i="1" a="1"/>
  <c r="AG149" i="1" a="1"/>
  <c r="AG25" i="1" a="1"/>
  <c r="AG104" i="1" a="1"/>
  <c r="AG167" i="1" a="1"/>
  <c r="AG42" i="1" a="1"/>
  <c r="AG107" i="1" a="1"/>
  <c r="AG170" i="1" a="1"/>
  <c r="AG48" i="1" a="1"/>
  <c r="AG110" i="1" a="1"/>
  <c r="AG173" i="1" a="1"/>
  <c r="AG49" i="1" a="1"/>
  <c r="AG113" i="1" a="1"/>
  <c r="AG184" i="1" a="1"/>
  <c r="AG79" i="1" a="1"/>
  <c r="AG143" i="1" a="1"/>
  <c r="AG186" i="1" a="1"/>
  <c r="AG245" i="1" a="1"/>
  <c r="AG82" i="1" a="1"/>
  <c r="AG216" i="1" a="1"/>
  <c r="AG280" i="1" a="1"/>
  <c r="AG161" i="1" a="1"/>
  <c r="AG251" i="1" a="1"/>
  <c r="AG106" i="1" a="1"/>
  <c r="AG214" i="1" a="1"/>
  <c r="AG278" i="1" a="1"/>
  <c r="AG171" i="1" a="1"/>
  <c r="AG241" i="1" a="1"/>
  <c r="AG100" i="1" a="1"/>
  <c r="AG231" i="1" a="1"/>
  <c r="AG159" i="1" a="1"/>
  <c r="AG130" i="1" a="1"/>
  <c r="AG282" i="1" a="1"/>
  <c r="AG58" i="1" a="1"/>
  <c r="AG201" i="1" a="1"/>
  <c r="AG269" i="1" a="1"/>
  <c r="AG188" i="1" a="1"/>
  <c r="AO53" i="1" a="1"/>
  <c r="AO34" i="1" a="1"/>
  <c r="AO98" i="1" a="1"/>
  <c r="AO162" i="1" a="1"/>
  <c r="AO79" i="1" a="1"/>
  <c r="AO143" i="1" a="1"/>
  <c r="AO68" i="1" a="1"/>
  <c r="AO132" i="1" a="1"/>
  <c r="AO49" i="1" a="1"/>
  <c r="AO113" i="1" a="1"/>
  <c r="AO30" i="1" a="1"/>
  <c r="AO88" i="1" a="1"/>
  <c r="AO152" i="1" a="1"/>
  <c r="AO155" i="1" a="1"/>
  <c r="AO231" i="1" a="1"/>
  <c r="AO117" i="1" a="1"/>
  <c r="AO220" i="1" a="1"/>
  <c r="AO173" i="1" a="1"/>
  <c r="AO233" i="1" a="1"/>
  <c r="AO110" i="1" a="1"/>
  <c r="AO222" i="1" a="1"/>
  <c r="AO157" i="1" a="1"/>
  <c r="AO219" i="1" a="1"/>
  <c r="AO158" i="1" a="1"/>
  <c r="AO232" i="1" a="1"/>
  <c r="AO150" i="1" a="1"/>
  <c r="AO229" i="1" a="1"/>
  <c r="AO270" i="1" a="1"/>
  <c r="AO186" i="1" a="1"/>
  <c r="AO262" i="1" a="1"/>
  <c r="AO62" i="1" a="1"/>
  <c r="AO218" i="1" a="1"/>
  <c r="AO278" i="1" a="1"/>
  <c r="AO23" i="1" a="1"/>
  <c r="AO6" i="1" a="1"/>
  <c r="AO28" i="1" a="1"/>
  <c r="AG36" i="1" a="1"/>
  <c r="AG93" i="1" a="1"/>
  <c r="AG157" i="1" a="1"/>
  <c r="AG39" i="1" a="1"/>
  <c r="AG112" i="1" a="1"/>
  <c r="AG175" i="1" a="1"/>
  <c r="AG51" i="1" a="1"/>
  <c r="AG115" i="1" a="1"/>
  <c r="AG178" i="1" a="1"/>
  <c r="AG54" i="1" a="1"/>
  <c r="AG118" i="1" a="1"/>
  <c r="AG181" i="1" a="1"/>
  <c r="AG57" i="1" a="1"/>
  <c r="AG121" i="1" a="1"/>
  <c r="AG9" i="1" a="1"/>
  <c r="AG87" i="1" a="1"/>
  <c r="AG151" i="1" a="1"/>
  <c r="AG194" i="1" a="1"/>
  <c r="AG253" i="1" a="1"/>
  <c r="AG114" i="1" a="1"/>
  <c r="AG224" i="1" a="1"/>
  <c r="AG288" i="1" a="1"/>
  <c r="AG192" i="1" a="1"/>
  <c r="AG259" i="1" a="1"/>
  <c r="AG138" i="1" a="1"/>
  <c r="AG222" i="1" a="1"/>
  <c r="AG286" i="1" a="1"/>
  <c r="AG177" i="1" a="1"/>
  <c r="AG249" i="1" a="1"/>
  <c r="AG132" i="1" a="1"/>
  <c r="AG239" i="1" a="1"/>
  <c r="AG179" i="1" a="1"/>
  <c r="AG212" i="1" a="1"/>
  <c r="AG234" i="1" a="1"/>
  <c r="AG166" i="1" a="1"/>
  <c r="AG220" i="1" a="1"/>
  <c r="AG240" i="1" a="1"/>
  <c r="AG238" i="1" a="1"/>
  <c r="AG98" i="1" a="1"/>
  <c r="AO61" i="1" a="1"/>
  <c r="AO42" i="1" a="1"/>
  <c r="AO106" i="1" a="1"/>
  <c r="AO170" i="1" a="1"/>
  <c r="AO87" i="1" a="1"/>
  <c r="AO151" i="1" a="1"/>
  <c r="AO76" i="1" a="1"/>
  <c r="AO140" i="1" a="1"/>
  <c r="AO57" i="1" a="1"/>
  <c r="AO121" i="1" a="1"/>
  <c r="AO32" i="1" a="1"/>
  <c r="AO96" i="1" a="1"/>
  <c r="AO160" i="1" a="1"/>
  <c r="AO175" i="1" a="1"/>
  <c r="AO239" i="1" a="1"/>
  <c r="AO126" i="1" a="1"/>
  <c r="AO228" i="1" a="1"/>
  <c r="AO177" i="1" a="1"/>
  <c r="AO241" i="1" a="1"/>
  <c r="AO131" i="1" a="1"/>
  <c r="AO230" i="1" a="1"/>
  <c r="AO166" i="1" a="1"/>
  <c r="AO227" i="1" a="1"/>
  <c r="AO176" i="1" a="1"/>
  <c r="AO240" i="1" a="1"/>
  <c r="AO171" i="1" a="1"/>
  <c r="AO237" i="1" a="1"/>
  <c r="AO272" i="1" a="1"/>
  <c r="AO264" i="1" a="1"/>
  <c r="AO275" i="1" a="1"/>
  <c r="AO285" i="1" a="1"/>
  <c r="AO260" i="1" a="1"/>
  <c r="AO3" i="1" a="1"/>
  <c r="AO22" i="1" a="1"/>
  <c r="AO7" i="1" a="1"/>
  <c r="AO17" i="1" a="1"/>
  <c r="AG44" i="1" a="1"/>
  <c r="AG101" i="1" a="1"/>
  <c r="AG164" i="1" a="1"/>
  <c r="AG56" i="1" a="1"/>
  <c r="AG120" i="1" a="1"/>
  <c r="AG183" i="1" a="1"/>
  <c r="AG59" i="1" a="1"/>
  <c r="AG123" i="1" a="1"/>
  <c r="AG8" i="1" a="1"/>
  <c r="AG62" i="1" a="1"/>
  <c r="AG126" i="1" a="1"/>
  <c r="AG3" i="1" a="1"/>
  <c r="AG65" i="1" a="1"/>
  <c r="AG129" i="1" a="1"/>
  <c r="AG16" i="1" a="1"/>
  <c r="AG95" i="1" a="1"/>
  <c r="AG21" i="1" a="1"/>
  <c r="AG202" i="1" a="1"/>
  <c r="AG261" i="1" a="1"/>
  <c r="AG146" i="1" a="1"/>
  <c r="AG232" i="1" a="1"/>
  <c r="AG13" i="1" a="1"/>
  <c r="AG200" i="1" a="1"/>
  <c r="AG267" i="1" a="1"/>
  <c r="AG163" i="1" a="1"/>
  <c r="AG230" i="1" a="1"/>
  <c r="AG6" i="1" a="1"/>
  <c r="AG190" i="1" a="1"/>
  <c r="AG257" i="1" a="1"/>
  <c r="AG185" i="1" a="1"/>
  <c r="AG247" i="1" a="1"/>
  <c r="AG193" i="1" a="1"/>
  <c r="AG260" i="1" a="1"/>
  <c r="AG27" i="1" a="1"/>
  <c r="AG199" i="1" a="1"/>
  <c r="AG244" i="1" a="1"/>
  <c r="AG156" i="1" a="1"/>
  <c r="AG198" i="1" a="1"/>
  <c r="AG276" i="1" a="1"/>
  <c r="AO69" i="1" a="1"/>
  <c r="AO50" i="1" a="1"/>
  <c r="AO114" i="1" a="1"/>
  <c r="AO31" i="1" a="1"/>
  <c r="AO95" i="1" a="1"/>
  <c r="AO159" i="1" a="1"/>
  <c r="AO84" i="1" a="1"/>
  <c r="AO148" i="1" a="1"/>
  <c r="AO65" i="1" a="1"/>
  <c r="AO129" i="1" a="1"/>
  <c r="AO40" i="1" a="1"/>
  <c r="AO104" i="1" a="1"/>
  <c r="AO168" i="1" a="1"/>
  <c r="AO183" i="1" a="1"/>
  <c r="AO247" i="1" a="1"/>
  <c r="AO147" i="1" a="1"/>
  <c r="AO236" i="1" a="1"/>
  <c r="AO185" i="1" a="1"/>
  <c r="AO249" i="1" a="1"/>
  <c r="AO165" i="1" a="1"/>
  <c r="AO238" i="1" a="1"/>
  <c r="AO174" i="1" a="1"/>
  <c r="AO235" i="1" a="1"/>
  <c r="AO184" i="1" a="1"/>
  <c r="AO248" i="1" a="1"/>
  <c r="AO181" i="1" a="1"/>
  <c r="AO245" i="1" a="1"/>
  <c r="AO281" i="1" a="1"/>
  <c r="AO283" i="1" a="1"/>
  <c r="AO280" i="1" a="1"/>
  <c r="AO178" i="1" a="1"/>
  <c r="AO279" i="1" a="1"/>
  <c r="AO11" i="1" a="1"/>
  <c r="AO5" i="1" a="1"/>
  <c r="AO15" i="1" a="1"/>
  <c r="AO9" i="1" a="1"/>
  <c r="AG47" i="1" a="1"/>
  <c r="AG109" i="1" a="1"/>
  <c r="AG172" i="1" a="1"/>
  <c r="AG64" i="1" a="1"/>
  <c r="AG128" i="1" a="1"/>
  <c r="AG5" i="1" a="1"/>
  <c r="AG67" i="1" a="1"/>
  <c r="AG131" i="1" a="1"/>
  <c r="AG15" i="1" a="1"/>
  <c r="AG70" i="1" a="1"/>
  <c r="AG134" i="1" a="1"/>
  <c r="AG11" i="1" a="1"/>
  <c r="AG73" i="1" a="1"/>
  <c r="AG137" i="1" a="1"/>
  <c r="AG24" i="1" a="1"/>
  <c r="AG103" i="1" a="1"/>
  <c r="AG205" i="1" a="1"/>
  <c r="AG43" i="1" a="1"/>
  <c r="AG35" i="1" a="1"/>
  <c r="AG218" i="1" a="1"/>
  <c r="AO77" i="1" a="1"/>
  <c r="AO58" i="1" a="1"/>
  <c r="AO122" i="1" a="1"/>
  <c r="AO39" i="1" a="1"/>
  <c r="AO103" i="1" a="1"/>
  <c r="AO167" i="1" a="1"/>
  <c r="AO92" i="1" a="1"/>
  <c r="AO156" i="1" a="1"/>
  <c r="AO73" i="1" a="1"/>
  <c r="AO137" i="1" a="1"/>
  <c r="AO48" i="1" a="1"/>
  <c r="AO112" i="1" a="1"/>
  <c r="AO43" i="1" a="1"/>
  <c r="AO191" i="1" a="1"/>
  <c r="AO255" i="1" a="1"/>
  <c r="AO180" i="1" a="1"/>
  <c r="AO244" i="1" a="1"/>
  <c r="AO193" i="1" a="1"/>
  <c r="AO257" i="1" a="1"/>
  <c r="AO182" i="1" a="1"/>
  <c r="AO246" i="1" a="1"/>
  <c r="AO179" i="1" a="1"/>
  <c r="AO243" i="1" a="1"/>
  <c r="AO192" i="1" a="1"/>
  <c r="AO256" i="1" a="1"/>
  <c r="AO189" i="1" a="1"/>
  <c r="AO253" i="1" a="1"/>
  <c r="AO268" i="1" a="1"/>
  <c r="AO258" i="1" a="1"/>
  <c r="AO288" i="1" a="1"/>
  <c r="AO242" i="1" a="1"/>
  <c r="AO287" i="1" a="1"/>
  <c r="AO19" i="1" a="1"/>
  <c r="AO13" i="1" a="1"/>
  <c r="AO25" i="1" a="1"/>
  <c r="AO2" i="1" a="1"/>
  <c r="AG53" i="1" a="1"/>
  <c r="AG117" i="1" a="1"/>
  <c r="AG180" i="1" a="1"/>
  <c r="AG72" i="1" a="1"/>
  <c r="AG136" i="1" a="1"/>
  <c r="AG12" i="1" a="1"/>
  <c r="AG75" i="1" a="1"/>
  <c r="AG139" i="1" a="1"/>
  <c r="AG23" i="1" a="1"/>
  <c r="AG78" i="1" a="1"/>
  <c r="AG142" i="1" a="1"/>
  <c r="AG18" i="1" a="1"/>
  <c r="AG81" i="1" a="1"/>
  <c r="AG145" i="1" a="1"/>
  <c r="AG38" i="1" a="1"/>
  <c r="AG111" i="1" a="1"/>
  <c r="AG92" i="1" a="1"/>
  <c r="AG213" i="1" a="1"/>
  <c r="AG277" i="1" a="1"/>
  <c r="AG182" i="1" a="1"/>
  <c r="AG248" i="1" a="1"/>
  <c r="AG52" i="1" a="1"/>
  <c r="AG219" i="1" a="1"/>
  <c r="AG283" i="1" a="1"/>
  <c r="AG187" i="1" a="1"/>
  <c r="AG246" i="1" a="1"/>
  <c r="AG46" i="1" a="1"/>
  <c r="AG209" i="1" a="1"/>
  <c r="AG273" i="1" a="1"/>
  <c r="AG196" i="1" a="1"/>
  <c r="AG263" i="1" a="1"/>
  <c r="AG268" i="1" a="1"/>
  <c r="AG19" i="1" a="1"/>
  <c r="AG204" i="1" a="1"/>
  <c r="AG242" i="1" a="1"/>
  <c r="AG226" i="1" a="1"/>
  <c r="AG211" i="1" a="1"/>
  <c r="AG265" i="1" a="1"/>
  <c r="AG265" i="1" l="1"/>
  <c r="AH265" i="1"/>
  <c r="AH211" i="1"/>
  <c r="AG211" i="1"/>
  <c r="AH226" i="1"/>
  <c r="AG226" i="1"/>
  <c r="AH242" i="1"/>
  <c r="AG242" i="1"/>
  <c r="AH204" i="1"/>
  <c r="AG204" i="1"/>
  <c r="AG19" i="1"/>
  <c r="AH19" i="1"/>
  <c r="AG268" i="1"/>
  <c r="AH268" i="1"/>
  <c r="AH263" i="1"/>
  <c r="AG263" i="1"/>
  <c r="AH196" i="1"/>
  <c r="AG196" i="1"/>
  <c r="AH273" i="1"/>
  <c r="AG273" i="1"/>
  <c r="AH209" i="1"/>
  <c r="AG209" i="1"/>
  <c r="AG46" i="1"/>
  <c r="AH46" i="1"/>
  <c r="AG246" i="1"/>
  <c r="AH246" i="1"/>
  <c r="AG187" i="1"/>
  <c r="AH187" i="1"/>
  <c r="AG283" i="1"/>
  <c r="AH283" i="1"/>
  <c r="AG219" i="1"/>
  <c r="AH219" i="1"/>
  <c r="AG52" i="1"/>
  <c r="AH52" i="1"/>
  <c r="AG248" i="1"/>
  <c r="AH248" i="1"/>
  <c r="AH182" i="1"/>
  <c r="AG182" i="1"/>
  <c r="AG277" i="1"/>
  <c r="AH277" i="1"/>
  <c r="AG213" i="1"/>
  <c r="AH213" i="1"/>
  <c r="AG92" i="1"/>
  <c r="AH92" i="1"/>
  <c r="AH111" i="1"/>
  <c r="AG111" i="1"/>
  <c r="AH38" i="1"/>
  <c r="AG38" i="1"/>
  <c r="AH145" i="1"/>
  <c r="AG145" i="1"/>
  <c r="AH81" i="1"/>
  <c r="AG81" i="1"/>
  <c r="AH18" i="1"/>
  <c r="AG18" i="1"/>
  <c r="AG142" i="1"/>
  <c r="AH142" i="1"/>
  <c r="AG78" i="1"/>
  <c r="AH78" i="1"/>
  <c r="AG23" i="1"/>
  <c r="AH23" i="1"/>
  <c r="AG139" i="1"/>
  <c r="AH139" i="1"/>
  <c r="AG75" i="1"/>
  <c r="AH75" i="1"/>
  <c r="AG12" i="1"/>
  <c r="AH12" i="1"/>
  <c r="AG136" i="1"/>
  <c r="AH136" i="1"/>
  <c r="AG72" i="1"/>
  <c r="AH72" i="1"/>
  <c r="AG180" i="1"/>
  <c r="AH180" i="1"/>
  <c r="AG117" i="1"/>
  <c r="AH117" i="1"/>
  <c r="AG53" i="1"/>
  <c r="AH53" i="1"/>
  <c r="AO2" i="1"/>
  <c r="AP2" i="1"/>
  <c r="AQ2" i="1"/>
  <c r="AR2" i="1"/>
  <c r="AQ25" i="1"/>
  <c r="AP25" i="1"/>
  <c r="AO25" i="1"/>
  <c r="AR25" i="1"/>
  <c r="AP13" i="1"/>
  <c r="AU13" i="1" s="1"/>
  <c r="AR13" i="1"/>
  <c r="AW13" i="1" s="1"/>
  <c r="AO13" i="1"/>
  <c r="AT13" i="1" s="1"/>
  <c r="AQ13" i="1"/>
  <c r="AV13" i="1" s="1"/>
  <c r="AR19" i="1"/>
  <c r="AW19" i="1" s="1"/>
  <c r="AQ19" i="1"/>
  <c r="AV19" i="1" s="1"/>
  <c r="AO19" i="1"/>
  <c r="AT19" i="1" s="1"/>
  <c r="AP19" i="1"/>
  <c r="AU19" i="1" s="1"/>
  <c r="AP287" i="1"/>
  <c r="AU287" i="1" s="1"/>
  <c r="AR287" i="1"/>
  <c r="AW287" i="1" s="1"/>
  <c r="AO287" i="1"/>
  <c r="AT287" i="1" s="1"/>
  <c r="AQ287" i="1"/>
  <c r="AV287" i="1" s="1"/>
  <c r="AO242" i="1"/>
  <c r="AP242" i="1"/>
  <c r="AR242" i="1"/>
  <c r="AQ242" i="1"/>
  <c r="AO288" i="1"/>
  <c r="AT288" i="1" s="1"/>
  <c r="AP288" i="1"/>
  <c r="AU288" i="1" s="1"/>
  <c r="AR288" i="1"/>
  <c r="AW288" i="1" s="1"/>
  <c r="AQ288" i="1"/>
  <c r="AV288" i="1" s="1"/>
  <c r="AQ258" i="1"/>
  <c r="AR258" i="1"/>
  <c r="AP258" i="1"/>
  <c r="AO258" i="1"/>
  <c r="AP268" i="1"/>
  <c r="AR268" i="1"/>
  <c r="AO268" i="1"/>
  <c r="AQ268" i="1"/>
  <c r="AR253" i="1"/>
  <c r="AO253" i="1"/>
  <c r="AQ253" i="1"/>
  <c r="AP253" i="1"/>
  <c r="AQ189" i="1"/>
  <c r="AO189" i="1"/>
  <c r="AP189" i="1"/>
  <c r="AR189" i="1"/>
  <c r="AO256" i="1"/>
  <c r="AR256" i="1"/>
  <c r="AP256" i="1"/>
  <c r="AQ256" i="1"/>
  <c r="AR192" i="1"/>
  <c r="AW192" i="1" s="1"/>
  <c r="AP192" i="1"/>
  <c r="AU192" i="1" s="1"/>
  <c r="AQ192" i="1"/>
  <c r="AV192" i="1" s="1"/>
  <c r="AO192" i="1"/>
  <c r="AT192" i="1" s="1"/>
  <c r="AO243" i="1"/>
  <c r="AQ243" i="1"/>
  <c r="AR243" i="1"/>
  <c r="AP243" i="1"/>
  <c r="AO179" i="1"/>
  <c r="AT179" i="1" s="1"/>
  <c r="AQ179" i="1"/>
  <c r="AV179" i="1" s="1"/>
  <c r="AR179" i="1"/>
  <c r="AW179" i="1" s="1"/>
  <c r="AP179" i="1"/>
  <c r="AU179" i="1" s="1"/>
  <c r="AQ246" i="1"/>
  <c r="AR246" i="1"/>
  <c r="AP246" i="1"/>
  <c r="AO246" i="1"/>
  <c r="AP182" i="1"/>
  <c r="AR182" i="1"/>
  <c r="AO182" i="1"/>
  <c r="AQ182" i="1"/>
  <c r="AR257" i="1"/>
  <c r="AO257" i="1"/>
  <c r="AQ257" i="1"/>
  <c r="AP257" i="1"/>
  <c r="AP193" i="1"/>
  <c r="AR193" i="1"/>
  <c r="AO193" i="1"/>
  <c r="AQ193" i="1"/>
  <c r="AP244" i="1"/>
  <c r="AQ244" i="1"/>
  <c r="AO244" i="1"/>
  <c r="AR244" i="1"/>
  <c r="AP180" i="1"/>
  <c r="AU180" i="1" s="1"/>
  <c r="AR180" i="1"/>
  <c r="AW180" i="1" s="1"/>
  <c r="AO180" i="1"/>
  <c r="AT180" i="1" s="1"/>
  <c r="AQ180" i="1"/>
  <c r="AV180" i="1" s="1"/>
  <c r="AQ255" i="1"/>
  <c r="AR255" i="1"/>
  <c r="AP255" i="1"/>
  <c r="AO255" i="1"/>
  <c r="AR191" i="1"/>
  <c r="AO191" i="1"/>
  <c r="AP191" i="1"/>
  <c r="AQ191" i="1"/>
  <c r="AO43" i="1"/>
  <c r="AP43" i="1"/>
  <c r="AQ43" i="1"/>
  <c r="AR43" i="1"/>
  <c r="AO112" i="1"/>
  <c r="AP112" i="1"/>
  <c r="AQ112" i="1"/>
  <c r="AR112" i="1"/>
  <c r="AP48" i="1"/>
  <c r="AU48" i="1" s="1"/>
  <c r="AQ48" i="1"/>
  <c r="AV48" i="1" s="1"/>
  <c r="AO48" i="1"/>
  <c r="AT48" i="1" s="1"/>
  <c r="AR48" i="1"/>
  <c r="AW48" i="1" s="1"/>
  <c r="AR137" i="1"/>
  <c r="AW137" i="1" s="1"/>
  <c r="AO137" i="1"/>
  <c r="AT137" i="1" s="1"/>
  <c r="AQ137" i="1"/>
  <c r="AV137" i="1" s="1"/>
  <c r="AP137" i="1"/>
  <c r="AU137" i="1" s="1"/>
  <c r="AQ73" i="1"/>
  <c r="AV73" i="1" s="1"/>
  <c r="AO73" i="1"/>
  <c r="AT73" i="1" s="1"/>
  <c r="AR73" i="1"/>
  <c r="AW73" i="1" s="1"/>
  <c r="AP73" i="1"/>
  <c r="AU73" i="1" s="1"/>
  <c r="AR156" i="1"/>
  <c r="AW156" i="1" s="1"/>
  <c r="AP156" i="1"/>
  <c r="AU156" i="1" s="1"/>
  <c r="AO156" i="1"/>
  <c r="AT156" i="1" s="1"/>
  <c r="AQ156" i="1"/>
  <c r="AV156" i="1" s="1"/>
  <c r="AR92" i="1"/>
  <c r="AP92" i="1"/>
  <c r="AO92" i="1"/>
  <c r="AQ92" i="1"/>
  <c r="AP167" i="1"/>
  <c r="AU167" i="1" s="1"/>
  <c r="AR167" i="1"/>
  <c r="AW167" i="1" s="1"/>
  <c r="AO167" i="1"/>
  <c r="AT167" i="1" s="1"/>
  <c r="AQ167" i="1"/>
  <c r="AV167" i="1" s="1"/>
  <c r="AP103" i="1"/>
  <c r="AQ103" i="1"/>
  <c r="AO103" i="1"/>
  <c r="AR103" i="1"/>
  <c r="AP39" i="1"/>
  <c r="AU39" i="1" s="1"/>
  <c r="AQ39" i="1"/>
  <c r="AV39" i="1" s="1"/>
  <c r="AO39" i="1"/>
  <c r="AT39" i="1" s="1"/>
  <c r="AR39" i="1"/>
  <c r="AW39" i="1" s="1"/>
  <c r="AP122" i="1"/>
  <c r="AR122" i="1"/>
  <c r="AO122" i="1"/>
  <c r="AQ122" i="1"/>
  <c r="AP58" i="1"/>
  <c r="AU58" i="1" s="1"/>
  <c r="AR58" i="1"/>
  <c r="AW58" i="1" s="1"/>
  <c r="AO58" i="1"/>
  <c r="AT58" i="1" s="1"/>
  <c r="AQ58" i="1"/>
  <c r="AV58" i="1" s="1"/>
  <c r="AP77" i="1"/>
  <c r="AU77" i="1" s="1"/>
  <c r="AR77" i="1"/>
  <c r="AW77" i="1" s="1"/>
  <c r="AO77" i="1"/>
  <c r="AT77" i="1" s="1"/>
  <c r="AQ77" i="1"/>
  <c r="AV77" i="1" s="1"/>
  <c r="AH218" i="1"/>
  <c r="AG218" i="1"/>
  <c r="AH35" i="1"/>
  <c r="AG35" i="1"/>
  <c r="AH43" i="1"/>
  <c r="AG43" i="1"/>
  <c r="AG205" i="1"/>
  <c r="AH205" i="1"/>
  <c r="AH103" i="1"/>
  <c r="AG103" i="1"/>
  <c r="AH24" i="1"/>
  <c r="AG24" i="1"/>
  <c r="AH137" i="1"/>
  <c r="AG137" i="1"/>
  <c r="AH73" i="1"/>
  <c r="AG73" i="1"/>
  <c r="AH11" i="1"/>
  <c r="AG11" i="1"/>
  <c r="AG134" i="1"/>
  <c r="AH134" i="1"/>
  <c r="AG70" i="1"/>
  <c r="AH70" i="1"/>
  <c r="AG15" i="1"/>
  <c r="AH15" i="1"/>
  <c r="AG131" i="1"/>
  <c r="AH131" i="1"/>
  <c r="AG67" i="1"/>
  <c r="AH67" i="1"/>
  <c r="AG5" i="1"/>
  <c r="AH5" i="1"/>
  <c r="AG128" i="1"/>
  <c r="AH128" i="1"/>
  <c r="AG64" i="1"/>
  <c r="AH64" i="1"/>
  <c r="AG172" i="1"/>
  <c r="AH172" i="1"/>
  <c r="AG109" i="1"/>
  <c r="AH109" i="1"/>
  <c r="AG47" i="1"/>
  <c r="AH47" i="1"/>
  <c r="AQ9" i="1"/>
  <c r="AO9" i="1"/>
  <c r="AR9" i="1"/>
  <c r="AP9" i="1"/>
  <c r="AQ15" i="1"/>
  <c r="AO15" i="1"/>
  <c r="AP15" i="1"/>
  <c r="AR15" i="1"/>
  <c r="AR5" i="1"/>
  <c r="AO5" i="1"/>
  <c r="AP5" i="1"/>
  <c r="AQ5" i="1"/>
  <c r="AR11" i="1"/>
  <c r="AO11" i="1"/>
  <c r="AP11" i="1"/>
  <c r="AQ11" i="1"/>
  <c r="AP279" i="1"/>
  <c r="AR279" i="1"/>
  <c r="AQ279" i="1"/>
  <c r="AO279" i="1"/>
  <c r="AO178" i="1"/>
  <c r="AT178" i="1" s="1"/>
  <c r="AP178" i="1"/>
  <c r="AU178" i="1" s="1"/>
  <c r="AQ178" i="1"/>
  <c r="AV178" i="1" s="1"/>
  <c r="AR178" i="1"/>
  <c r="AW178" i="1" s="1"/>
  <c r="AO280" i="1"/>
  <c r="AP280" i="1"/>
  <c r="AQ280" i="1"/>
  <c r="AR280" i="1"/>
  <c r="AO283" i="1"/>
  <c r="AT283" i="1" s="1"/>
  <c r="AQ283" i="1"/>
  <c r="AV283" i="1" s="1"/>
  <c r="AR283" i="1"/>
  <c r="AW283" i="1" s="1"/>
  <c r="AP283" i="1"/>
  <c r="AU283" i="1" s="1"/>
  <c r="AO281" i="1"/>
  <c r="AQ281" i="1"/>
  <c r="AR281" i="1"/>
  <c r="AP281" i="1"/>
  <c r="AP245" i="1"/>
  <c r="AO245" i="1"/>
  <c r="AQ245" i="1"/>
  <c r="AR245" i="1"/>
  <c r="AP181" i="1"/>
  <c r="AU181" i="1" s="1"/>
  <c r="AR181" i="1"/>
  <c r="AW181" i="1" s="1"/>
  <c r="AO181" i="1"/>
  <c r="AT181" i="1" s="1"/>
  <c r="AQ181" i="1"/>
  <c r="AV181" i="1" s="1"/>
  <c r="AQ248" i="1"/>
  <c r="AP248" i="1"/>
  <c r="AR248" i="1"/>
  <c r="AO248" i="1"/>
  <c r="AQ184" i="1"/>
  <c r="AO184" i="1"/>
  <c r="AP184" i="1"/>
  <c r="AR184" i="1"/>
  <c r="AR235" i="1"/>
  <c r="AP235" i="1"/>
  <c r="AQ235" i="1"/>
  <c r="AO235" i="1"/>
  <c r="AP174" i="1"/>
  <c r="AQ174" i="1"/>
  <c r="AR174" i="1"/>
  <c r="AO174" i="1"/>
  <c r="AO238" i="1"/>
  <c r="AQ238" i="1"/>
  <c r="AR238" i="1"/>
  <c r="AP238" i="1"/>
  <c r="AO165" i="1"/>
  <c r="AQ165" i="1"/>
  <c r="AR165" i="1"/>
  <c r="AP165" i="1"/>
  <c r="AO249" i="1"/>
  <c r="AR249" i="1"/>
  <c r="AP249" i="1"/>
  <c r="AQ249" i="1"/>
  <c r="AO185" i="1"/>
  <c r="AT185" i="1" s="1"/>
  <c r="AQ185" i="1"/>
  <c r="AV185" i="1" s="1"/>
  <c r="AR185" i="1"/>
  <c r="AW185" i="1" s="1"/>
  <c r="AP185" i="1"/>
  <c r="AU185" i="1" s="1"/>
  <c r="AO236" i="1"/>
  <c r="AQ236" i="1"/>
  <c r="AR236" i="1"/>
  <c r="AP236" i="1"/>
  <c r="AQ147" i="1"/>
  <c r="AV147" i="1" s="1"/>
  <c r="AO147" i="1"/>
  <c r="AT147" i="1" s="1"/>
  <c r="AP147" i="1"/>
  <c r="AU147" i="1" s="1"/>
  <c r="AR147" i="1"/>
  <c r="AW147" i="1" s="1"/>
  <c r="AO247" i="1"/>
  <c r="AQ247" i="1"/>
  <c r="AR247" i="1"/>
  <c r="AP247" i="1"/>
  <c r="AQ183" i="1"/>
  <c r="AP183" i="1"/>
  <c r="AR183" i="1"/>
  <c r="AO183" i="1"/>
  <c r="AR168" i="1"/>
  <c r="AQ168" i="1"/>
  <c r="AO168" i="1"/>
  <c r="AP168" i="1"/>
  <c r="AQ104" i="1"/>
  <c r="AP104" i="1"/>
  <c r="AR104" i="1"/>
  <c r="AO104" i="1"/>
  <c r="AP40" i="1"/>
  <c r="AU40" i="1" s="1"/>
  <c r="AQ40" i="1"/>
  <c r="AV40" i="1" s="1"/>
  <c r="AO40" i="1"/>
  <c r="AT40" i="1" s="1"/>
  <c r="AR40" i="1"/>
  <c r="AW40" i="1" s="1"/>
  <c r="AP129" i="1"/>
  <c r="AR129" i="1"/>
  <c r="AQ129" i="1"/>
  <c r="AO129" i="1"/>
  <c r="AQ65" i="1"/>
  <c r="AV65" i="1" s="1"/>
  <c r="AO65" i="1"/>
  <c r="AT65" i="1" s="1"/>
  <c r="AR65" i="1"/>
  <c r="AW65" i="1" s="1"/>
  <c r="AP65" i="1"/>
  <c r="AU65" i="1" s="1"/>
  <c r="AR148" i="1"/>
  <c r="AW148" i="1" s="1"/>
  <c r="AP148" i="1"/>
  <c r="AU148" i="1" s="1"/>
  <c r="AO148" i="1"/>
  <c r="AT148" i="1" s="1"/>
  <c r="AQ148" i="1"/>
  <c r="AV148" i="1" s="1"/>
  <c r="AR84" i="1"/>
  <c r="AW84" i="1" s="1"/>
  <c r="AP84" i="1"/>
  <c r="AU84" i="1" s="1"/>
  <c r="AO84" i="1"/>
  <c r="AT84" i="1" s="1"/>
  <c r="AQ84" i="1"/>
  <c r="AV84" i="1" s="1"/>
  <c r="AP159" i="1"/>
  <c r="AU159" i="1" s="1"/>
  <c r="AQ159" i="1"/>
  <c r="AV159" i="1" s="1"/>
  <c r="AO159" i="1"/>
  <c r="AT159" i="1" s="1"/>
  <c r="AR159" i="1"/>
  <c r="AW159" i="1" s="1"/>
  <c r="AP95" i="1"/>
  <c r="AQ95" i="1"/>
  <c r="AO95" i="1"/>
  <c r="AR95" i="1"/>
  <c r="AP31" i="1"/>
  <c r="AQ31" i="1"/>
  <c r="AO31" i="1"/>
  <c r="AR31" i="1"/>
  <c r="AP114" i="1"/>
  <c r="AQ114" i="1"/>
  <c r="AO114" i="1"/>
  <c r="AR114" i="1"/>
  <c r="AP50" i="1"/>
  <c r="AU50" i="1" s="1"/>
  <c r="AQ50" i="1"/>
  <c r="AV50" i="1" s="1"/>
  <c r="AO50" i="1"/>
  <c r="AT50" i="1" s="1"/>
  <c r="AR50" i="1"/>
  <c r="AW50" i="1" s="1"/>
  <c r="AP69" i="1"/>
  <c r="AQ69" i="1"/>
  <c r="AO69" i="1"/>
  <c r="AR69" i="1"/>
  <c r="AH276" i="1"/>
  <c r="AG276" i="1"/>
  <c r="AG198" i="1"/>
  <c r="AH198" i="1"/>
  <c r="AH156" i="1"/>
  <c r="AG156" i="1"/>
  <c r="AH244" i="1"/>
  <c r="AG244" i="1"/>
  <c r="AH199" i="1"/>
  <c r="AG199" i="1"/>
  <c r="AH27" i="1"/>
  <c r="AG27" i="1"/>
  <c r="AG260" i="1"/>
  <c r="AH260" i="1"/>
  <c r="AG193" i="1"/>
  <c r="AH193" i="1"/>
  <c r="AH247" i="1"/>
  <c r="AG247" i="1"/>
  <c r="AG185" i="1"/>
  <c r="AH185" i="1"/>
  <c r="AH257" i="1"/>
  <c r="AG257" i="1"/>
  <c r="AH190" i="1"/>
  <c r="AG190" i="1"/>
  <c r="AG6" i="1"/>
  <c r="AH6" i="1"/>
  <c r="AG230" i="1"/>
  <c r="AH230" i="1"/>
  <c r="AG163" i="1"/>
  <c r="AH163" i="1"/>
  <c r="AG267" i="1"/>
  <c r="AH267" i="1"/>
  <c r="AG200" i="1"/>
  <c r="AH200" i="1"/>
  <c r="AG13" i="1"/>
  <c r="AH13" i="1"/>
  <c r="AG232" i="1"/>
  <c r="AH232" i="1"/>
  <c r="AG146" i="1"/>
  <c r="AH146" i="1"/>
  <c r="AG261" i="1"/>
  <c r="AH261" i="1"/>
  <c r="AG202" i="1"/>
  <c r="AH202" i="1"/>
  <c r="AG21" i="1"/>
  <c r="AH21" i="1"/>
  <c r="AH95" i="1"/>
  <c r="AG95" i="1"/>
  <c r="AH16" i="1"/>
  <c r="AG16" i="1"/>
  <c r="AH129" i="1"/>
  <c r="AG129" i="1"/>
  <c r="AH65" i="1"/>
  <c r="AG65" i="1"/>
  <c r="AH3" i="1"/>
  <c r="AG3" i="1"/>
  <c r="AG126" i="1"/>
  <c r="AH126" i="1"/>
  <c r="AG62" i="1"/>
  <c r="AH62" i="1"/>
  <c r="AG8" i="1"/>
  <c r="AH8" i="1"/>
  <c r="AG123" i="1"/>
  <c r="AH123" i="1"/>
  <c r="AG59" i="1"/>
  <c r="AH59" i="1"/>
  <c r="AG183" i="1"/>
  <c r="AH183" i="1"/>
  <c r="AG120" i="1"/>
  <c r="AH120" i="1"/>
  <c r="AG56" i="1"/>
  <c r="AH56" i="1"/>
  <c r="AG164" i="1"/>
  <c r="AH164" i="1"/>
  <c r="AG101" i="1"/>
  <c r="AH101" i="1"/>
  <c r="AG44" i="1"/>
  <c r="AH44" i="1"/>
  <c r="AQ17" i="1"/>
  <c r="AO17" i="1"/>
  <c r="AP17" i="1"/>
  <c r="AR17" i="1"/>
  <c r="AO7" i="1"/>
  <c r="AP7" i="1"/>
  <c r="AR7" i="1"/>
  <c r="AQ7" i="1"/>
  <c r="AP22" i="1"/>
  <c r="AR22" i="1"/>
  <c r="AO22" i="1"/>
  <c r="AQ22" i="1"/>
  <c r="AP3" i="1"/>
  <c r="AU3" i="1" s="1"/>
  <c r="AR3" i="1"/>
  <c r="AW3" i="1" s="1"/>
  <c r="AO3" i="1"/>
  <c r="AT3" i="1" s="1"/>
  <c r="AQ3" i="1"/>
  <c r="AV3" i="1" s="1"/>
  <c r="AO260" i="1"/>
  <c r="AR260" i="1"/>
  <c r="AP260" i="1"/>
  <c r="AQ260" i="1"/>
  <c r="AR285" i="1"/>
  <c r="AW285" i="1" s="1"/>
  <c r="AO285" i="1"/>
  <c r="AT285" i="1" s="1"/>
  <c r="AQ285" i="1"/>
  <c r="AV285" i="1" s="1"/>
  <c r="AP285" i="1"/>
  <c r="AU285" i="1" s="1"/>
  <c r="AP275" i="1"/>
  <c r="AO275" i="1"/>
  <c r="AR275" i="1"/>
  <c r="AQ275" i="1"/>
  <c r="AP264" i="1"/>
  <c r="AR264" i="1"/>
  <c r="AO264" i="1"/>
  <c r="AQ264" i="1"/>
  <c r="AQ272" i="1"/>
  <c r="AP272" i="1"/>
  <c r="AO272" i="1"/>
  <c r="AR272" i="1"/>
  <c r="AQ237" i="1"/>
  <c r="AO237" i="1"/>
  <c r="AP237" i="1"/>
  <c r="AR237" i="1"/>
  <c r="AR171" i="1"/>
  <c r="AP171" i="1"/>
  <c r="AQ171" i="1"/>
  <c r="AO171" i="1"/>
  <c r="AR240" i="1"/>
  <c r="AW240" i="1" s="1"/>
  <c r="AP240" i="1"/>
  <c r="AU240" i="1" s="1"/>
  <c r="AQ240" i="1"/>
  <c r="AV240" i="1" s="1"/>
  <c r="AO240" i="1"/>
  <c r="AT240" i="1" s="1"/>
  <c r="AR176" i="1"/>
  <c r="AP176" i="1"/>
  <c r="AQ176" i="1"/>
  <c r="AO176" i="1"/>
  <c r="AO227" i="1"/>
  <c r="AQ227" i="1"/>
  <c r="AR227" i="1"/>
  <c r="AP227" i="1"/>
  <c r="AP166" i="1"/>
  <c r="AU166" i="1" s="1"/>
  <c r="AQ166" i="1"/>
  <c r="AV166" i="1" s="1"/>
  <c r="AR166" i="1"/>
  <c r="AW166" i="1" s="1"/>
  <c r="AO166" i="1"/>
  <c r="AT166" i="1" s="1"/>
  <c r="AP230" i="1"/>
  <c r="AR230" i="1"/>
  <c r="AO230" i="1"/>
  <c r="AQ230" i="1"/>
  <c r="AR131" i="1"/>
  <c r="AP131" i="1"/>
  <c r="AQ131" i="1"/>
  <c r="AO131" i="1"/>
  <c r="AP241" i="1"/>
  <c r="AR241" i="1"/>
  <c r="AO241" i="1"/>
  <c r="AQ241" i="1"/>
  <c r="AP177" i="1"/>
  <c r="AR177" i="1"/>
  <c r="AO177" i="1"/>
  <c r="AQ177" i="1"/>
  <c r="AP228" i="1"/>
  <c r="AR228" i="1"/>
  <c r="AO228" i="1"/>
  <c r="AQ228" i="1"/>
  <c r="AP126" i="1"/>
  <c r="AQ126" i="1"/>
  <c r="AR126" i="1"/>
  <c r="AO126" i="1"/>
  <c r="AR239" i="1"/>
  <c r="AQ239" i="1"/>
  <c r="AP239" i="1"/>
  <c r="AO239" i="1"/>
  <c r="AR175" i="1"/>
  <c r="AQ175" i="1"/>
  <c r="AO175" i="1"/>
  <c r="AP175" i="1"/>
  <c r="AO160" i="1"/>
  <c r="AT160" i="1" s="1"/>
  <c r="AR160" i="1"/>
  <c r="AW160" i="1" s="1"/>
  <c r="AQ160" i="1"/>
  <c r="AV160" i="1" s="1"/>
  <c r="AP160" i="1"/>
  <c r="AU160" i="1" s="1"/>
  <c r="AR96" i="1"/>
  <c r="AQ96" i="1"/>
  <c r="AO96" i="1"/>
  <c r="AP96" i="1"/>
  <c r="AP32" i="1"/>
  <c r="AQ32" i="1"/>
  <c r="AO32" i="1"/>
  <c r="AR32" i="1"/>
  <c r="AO121" i="1"/>
  <c r="AP121" i="1"/>
  <c r="AQ121" i="1"/>
  <c r="AR121" i="1"/>
  <c r="AQ57" i="1"/>
  <c r="AV57" i="1" s="1"/>
  <c r="AO57" i="1"/>
  <c r="AT57" i="1" s="1"/>
  <c r="AR57" i="1"/>
  <c r="AW57" i="1" s="1"/>
  <c r="AP57" i="1"/>
  <c r="AU57" i="1" s="1"/>
  <c r="AR140" i="1"/>
  <c r="AP140" i="1"/>
  <c r="AO140" i="1"/>
  <c r="AQ140" i="1"/>
  <c r="AR76" i="1"/>
  <c r="AW76" i="1" s="1"/>
  <c r="AP76" i="1"/>
  <c r="AU76" i="1" s="1"/>
  <c r="AO76" i="1"/>
  <c r="AT76" i="1" s="1"/>
  <c r="AQ76" i="1"/>
  <c r="AV76" i="1" s="1"/>
  <c r="AP151" i="1"/>
  <c r="AU151" i="1" s="1"/>
  <c r="AQ151" i="1"/>
  <c r="AV151" i="1" s="1"/>
  <c r="AO151" i="1"/>
  <c r="AT151" i="1" s="1"/>
  <c r="AR151" i="1"/>
  <c r="AW151" i="1" s="1"/>
  <c r="AP87" i="1"/>
  <c r="AU87" i="1" s="1"/>
  <c r="AR87" i="1"/>
  <c r="AW87" i="1" s="1"/>
  <c r="AO87" i="1"/>
  <c r="AT87" i="1" s="1"/>
  <c r="AQ87" i="1"/>
  <c r="AV87" i="1" s="1"/>
  <c r="AP170" i="1"/>
  <c r="AO170" i="1"/>
  <c r="AQ170" i="1"/>
  <c r="AR170" i="1"/>
  <c r="AP106" i="1"/>
  <c r="AU106" i="1" s="1"/>
  <c r="AO106" i="1"/>
  <c r="AT106" i="1" s="1"/>
  <c r="AQ106" i="1"/>
  <c r="AV106" i="1" s="1"/>
  <c r="AR106" i="1"/>
  <c r="AW106" i="1" s="1"/>
  <c r="AP42" i="1"/>
  <c r="AU42" i="1" s="1"/>
  <c r="AO42" i="1"/>
  <c r="AT42" i="1" s="1"/>
  <c r="AQ42" i="1"/>
  <c r="AV42" i="1" s="1"/>
  <c r="AR42" i="1"/>
  <c r="AW42" i="1" s="1"/>
  <c r="AP61" i="1"/>
  <c r="AU61" i="1" s="1"/>
  <c r="AO61" i="1"/>
  <c r="AT61" i="1" s="1"/>
  <c r="AQ61" i="1"/>
  <c r="AV61" i="1" s="1"/>
  <c r="AR61" i="1"/>
  <c r="AW61" i="1" s="1"/>
  <c r="AH98" i="1"/>
  <c r="AG98" i="1"/>
  <c r="AH238" i="1"/>
  <c r="AG238" i="1"/>
  <c r="AH240" i="1"/>
  <c r="AG240" i="1"/>
  <c r="AG220" i="1"/>
  <c r="AH220" i="1"/>
  <c r="AH166" i="1"/>
  <c r="AG166" i="1"/>
  <c r="AG234" i="1"/>
  <c r="AH234" i="1"/>
  <c r="AG212" i="1"/>
  <c r="AH212" i="1"/>
  <c r="AG179" i="1"/>
  <c r="AH179" i="1"/>
  <c r="AH239" i="1"/>
  <c r="AG239" i="1"/>
  <c r="AG132" i="1"/>
  <c r="AH132" i="1"/>
  <c r="AH249" i="1"/>
  <c r="AG249" i="1"/>
  <c r="AG177" i="1"/>
  <c r="AH177" i="1"/>
  <c r="AG286" i="1"/>
  <c r="AH286" i="1"/>
  <c r="AG222" i="1"/>
  <c r="AH222" i="1"/>
  <c r="AG138" i="1"/>
  <c r="AH138" i="1"/>
  <c r="AG259" i="1"/>
  <c r="AH259" i="1"/>
  <c r="AG192" i="1"/>
  <c r="AH192" i="1"/>
  <c r="AG288" i="1"/>
  <c r="AH288" i="1"/>
  <c r="AG224" i="1"/>
  <c r="AH224" i="1"/>
  <c r="AG114" i="1"/>
  <c r="AH114" i="1"/>
  <c r="AG253" i="1"/>
  <c r="AH253" i="1"/>
  <c r="AG194" i="1"/>
  <c r="AH194" i="1"/>
  <c r="AH151" i="1"/>
  <c r="AG151" i="1"/>
  <c r="AH87" i="1"/>
  <c r="AG87" i="1"/>
  <c r="AH9" i="1"/>
  <c r="AG9" i="1"/>
  <c r="AH121" i="1"/>
  <c r="AG121" i="1"/>
  <c r="AH57" i="1"/>
  <c r="AG57" i="1"/>
  <c r="AG181" i="1"/>
  <c r="AH181" i="1"/>
  <c r="AG118" i="1"/>
  <c r="AH118" i="1"/>
  <c r="AG54" i="1"/>
  <c r="AH54" i="1"/>
  <c r="AG178" i="1"/>
  <c r="AH178" i="1"/>
  <c r="AG115" i="1"/>
  <c r="AH115" i="1"/>
  <c r="AG51" i="1"/>
  <c r="AH51" i="1"/>
  <c r="AG175" i="1"/>
  <c r="AH175" i="1"/>
  <c r="AG112" i="1"/>
  <c r="AH112" i="1"/>
  <c r="AG39" i="1"/>
  <c r="AH39" i="1"/>
  <c r="AG157" i="1"/>
  <c r="AH157" i="1"/>
  <c r="AG93" i="1"/>
  <c r="AH93" i="1"/>
  <c r="AG36" i="1"/>
  <c r="AH36" i="1"/>
  <c r="AR28" i="1"/>
  <c r="AO28" i="1"/>
  <c r="AQ28" i="1"/>
  <c r="AP28" i="1"/>
  <c r="AP6" i="1"/>
  <c r="AQ6" i="1"/>
  <c r="AO6" i="1"/>
  <c r="AR6" i="1"/>
  <c r="AQ23" i="1"/>
  <c r="AR23" i="1"/>
  <c r="AP23" i="1"/>
  <c r="AO23" i="1"/>
  <c r="AO278" i="1"/>
  <c r="AP278" i="1"/>
  <c r="AQ278" i="1"/>
  <c r="AR278" i="1"/>
  <c r="AO218" i="1"/>
  <c r="AT218" i="1" s="1"/>
  <c r="AP218" i="1"/>
  <c r="AU218" i="1" s="1"/>
  <c r="AQ218" i="1"/>
  <c r="AV218" i="1" s="1"/>
  <c r="AR218" i="1"/>
  <c r="AW218" i="1" s="1"/>
  <c r="AQ62" i="1"/>
  <c r="AR62" i="1"/>
  <c r="AP62" i="1"/>
  <c r="AO62" i="1"/>
  <c r="AQ262" i="1"/>
  <c r="AO262" i="1"/>
  <c r="AP262" i="1"/>
  <c r="AR262" i="1"/>
  <c r="AO186" i="1"/>
  <c r="AT186" i="1" s="1"/>
  <c r="AQ186" i="1"/>
  <c r="AV186" i="1" s="1"/>
  <c r="AR186" i="1"/>
  <c r="AW186" i="1" s="1"/>
  <c r="AP186" i="1"/>
  <c r="AU186" i="1" s="1"/>
  <c r="AQ270" i="1"/>
  <c r="AP270" i="1"/>
  <c r="AR270" i="1"/>
  <c r="AO270" i="1"/>
  <c r="AP229" i="1"/>
  <c r="AR229" i="1"/>
  <c r="AO229" i="1"/>
  <c r="AQ229" i="1"/>
  <c r="AR150" i="1"/>
  <c r="AW150" i="1" s="1"/>
  <c r="AQ150" i="1"/>
  <c r="AV150" i="1" s="1"/>
  <c r="AO150" i="1"/>
  <c r="AT150" i="1" s="1"/>
  <c r="AP150" i="1"/>
  <c r="AU150" i="1" s="1"/>
  <c r="AQ232" i="1"/>
  <c r="AO232" i="1"/>
  <c r="AP232" i="1"/>
  <c r="AR232" i="1"/>
  <c r="AR158" i="1"/>
  <c r="AO158" i="1"/>
  <c r="AQ158" i="1"/>
  <c r="AP158" i="1"/>
  <c r="AR219" i="1"/>
  <c r="AP219" i="1"/>
  <c r="AQ219" i="1"/>
  <c r="AO219" i="1"/>
  <c r="AO157" i="1"/>
  <c r="AT157" i="1" s="1"/>
  <c r="AQ157" i="1"/>
  <c r="AV157" i="1" s="1"/>
  <c r="AR157" i="1"/>
  <c r="AW157" i="1" s="1"/>
  <c r="AP157" i="1"/>
  <c r="AU157" i="1" s="1"/>
  <c r="AO222" i="1"/>
  <c r="AQ222" i="1"/>
  <c r="AR222" i="1"/>
  <c r="AP222" i="1"/>
  <c r="AR110" i="1"/>
  <c r="AO110" i="1"/>
  <c r="AQ110" i="1"/>
  <c r="AP110" i="1"/>
  <c r="AO233" i="1"/>
  <c r="AQ233" i="1"/>
  <c r="AR233" i="1"/>
  <c r="AP233" i="1"/>
  <c r="AO173" i="1"/>
  <c r="AR173" i="1"/>
  <c r="AQ173" i="1"/>
  <c r="AP173" i="1"/>
  <c r="AO220" i="1"/>
  <c r="AQ220" i="1"/>
  <c r="AR220" i="1"/>
  <c r="AP220" i="1"/>
  <c r="AO117" i="1"/>
  <c r="AQ117" i="1"/>
  <c r="AR117" i="1"/>
  <c r="AP117" i="1"/>
  <c r="AQ231" i="1"/>
  <c r="AO231" i="1"/>
  <c r="AR231" i="1"/>
  <c r="AP231" i="1"/>
  <c r="AO155" i="1"/>
  <c r="AT155" i="1" s="1"/>
  <c r="AQ155" i="1"/>
  <c r="AV155" i="1" s="1"/>
  <c r="AP155" i="1"/>
  <c r="AU155" i="1" s="1"/>
  <c r="AR155" i="1"/>
  <c r="AW155" i="1" s="1"/>
  <c r="AR152" i="1"/>
  <c r="AW152" i="1" s="1"/>
  <c r="AP152" i="1"/>
  <c r="AU152" i="1" s="1"/>
  <c r="AO152" i="1"/>
  <c r="AT152" i="1" s="1"/>
  <c r="AQ152" i="1"/>
  <c r="AV152" i="1" s="1"/>
  <c r="AQ88" i="1"/>
  <c r="AV88" i="1" s="1"/>
  <c r="AO88" i="1"/>
  <c r="AT88" i="1" s="1"/>
  <c r="AR88" i="1"/>
  <c r="AW88" i="1" s="1"/>
  <c r="AP88" i="1"/>
  <c r="AU88" i="1" s="1"/>
  <c r="AR30" i="1"/>
  <c r="AP30" i="1"/>
  <c r="AQ30" i="1"/>
  <c r="AO30" i="1"/>
  <c r="AO113" i="1"/>
  <c r="AP113" i="1"/>
  <c r="AQ113" i="1"/>
  <c r="AR113" i="1"/>
  <c r="AQ49" i="1"/>
  <c r="AV49" i="1" s="1"/>
  <c r="AP49" i="1"/>
  <c r="AU49" i="1" s="1"/>
  <c r="AR49" i="1"/>
  <c r="AW49" i="1" s="1"/>
  <c r="AO49" i="1"/>
  <c r="AT49" i="1" s="1"/>
  <c r="AR132" i="1"/>
  <c r="AW132" i="1" s="1"/>
  <c r="AP132" i="1"/>
  <c r="AU132" i="1" s="1"/>
  <c r="AO132" i="1"/>
  <c r="AT132" i="1" s="1"/>
  <c r="AQ132" i="1"/>
  <c r="AV132" i="1" s="1"/>
  <c r="AR68" i="1"/>
  <c r="AQ68" i="1"/>
  <c r="AO68" i="1"/>
  <c r="AP68" i="1"/>
  <c r="AP143" i="1"/>
  <c r="AQ143" i="1"/>
  <c r="AO143" i="1"/>
  <c r="AR143" i="1"/>
  <c r="AP79" i="1"/>
  <c r="AU79" i="1" s="1"/>
  <c r="AQ79" i="1"/>
  <c r="AV79" i="1" s="1"/>
  <c r="AO79" i="1"/>
  <c r="AT79" i="1" s="1"/>
  <c r="AR79" i="1"/>
  <c r="AW79" i="1" s="1"/>
  <c r="AP162" i="1"/>
  <c r="AQ162" i="1"/>
  <c r="AO162" i="1"/>
  <c r="AR162" i="1"/>
  <c r="AP98" i="1"/>
  <c r="AQ98" i="1"/>
  <c r="AO98" i="1"/>
  <c r="AR98" i="1"/>
  <c r="AP34" i="1"/>
  <c r="AQ34" i="1"/>
  <c r="AO34" i="1"/>
  <c r="AR34" i="1"/>
  <c r="AP53" i="1"/>
  <c r="AU53" i="1" s="1"/>
  <c r="AQ53" i="1"/>
  <c r="AV53" i="1" s="1"/>
  <c r="AO53" i="1"/>
  <c r="AT53" i="1" s="1"/>
  <c r="AR53" i="1"/>
  <c r="AW53" i="1" s="1"/>
  <c r="AG188" i="1"/>
  <c r="AH188" i="1"/>
  <c r="AG269" i="1"/>
  <c r="AH269" i="1"/>
  <c r="AH201" i="1"/>
  <c r="AG201" i="1"/>
  <c r="AH58" i="1"/>
  <c r="AG58" i="1"/>
  <c r="AH282" i="1"/>
  <c r="AG282" i="1"/>
  <c r="AG130" i="1"/>
  <c r="AH130" i="1"/>
  <c r="AH159" i="1"/>
  <c r="AG159" i="1"/>
  <c r="AH231" i="1"/>
  <c r="AG231" i="1"/>
  <c r="AG100" i="1"/>
  <c r="AH100" i="1"/>
  <c r="AH241" i="1"/>
  <c r="AG241" i="1"/>
  <c r="AH171" i="1"/>
  <c r="AG171" i="1"/>
  <c r="AG278" i="1"/>
  <c r="AH278" i="1"/>
  <c r="AG214" i="1"/>
  <c r="AH214" i="1"/>
  <c r="AG106" i="1"/>
  <c r="AH106" i="1"/>
  <c r="AG251" i="1"/>
  <c r="AH251" i="1"/>
  <c r="AG161" i="1"/>
  <c r="AH161" i="1"/>
  <c r="AG280" i="1"/>
  <c r="AH280" i="1"/>
  <c r="AG216" i="1"/>
  <c r="AH216" i="1"/>
  <c r="AG82" i="1"/>
  <c r="AH82" i="1"/>
  <c r="AG245" i="1"/>
  <c r="AH245" i="1"/>
  <c r="AG186" i="1"/>
  <c r="AH186" i="1"/>
  <c r="AH143" i="1"/>
  <c r="AG143" i="1"/>
  <c r="AH79" i="1"/>
  <c r="AG79" i="1"/>
  <c r="AG184" i="1"/>
  <c r="AH184" i="1"/>
  <c r="AH113" i="1"/>
  <c r="AG113" i="1"/>
  <c r="AH49" i="1"/>
  <c r="AG49" i="1"/>
  <c r="AG173" i="1"/>
  <c r="AH173" i="1"/>
  <c r="AG110" i="1"/>
  <c r="AH110" i="1"/>
  <c r="AG48" i="1"/>
  <c r="AH48" i="1"/>
  <c r="AG170" i="1"/>
  <c r="AH170" i="1"/>
  <c r="AG107" i="1"/>
  <c r="AH107" i="1"/>
  <c r="AG42" i="1"/>
  <c r="AH42" i="1"/>
  <c r="AG167" i="1"/>
  <c r="AH167" i="1"/>
  <c r="AG104" i="1"/>
  <c r="AH104" i="1"/>
  <c r="AG25" i="1"/>
  <c r="AH25" i="1"/>
  <c r="AG149" i="1"/>
  <c r="AH149" i="1"/>
  <c r="AG85" i="1"/>
  <c r="AH85" i="1"/>
  <c r="AG30" i="1"/>
  <c r="AH30" i="1"/>
  <c r="AR20" i="1"/>
  <c r="AW20" i="1" s="1"/>
  <c r="AQ20" i="1"/>
  <c r="AV20" i="1" s="1"/>
  <c r="AO20" i="1"/>
  <c r="AT20" i="1" s="1"/>
  <c r="AP20" i="1"/>
  <c r="AU20" i="1" s="1"/>
  <c r="AQ26" i="1"/>
  <c r="AO26" i="1"/>
  <c r="AP26" i="1"/>
  <c r="AR26" i="1"/>
  <c r="AP24" i="1"/>
  <c r="AR24" i="1"/>
  <c r="AO24" i="1"/>
  <c r="AQ24" i="1"/>
  <c r="AO284" i="1"/>
  <c r="AT284" i="1" s="1"/>
  <c r="AQ284" i="1"/>
  <c r="AV284" i="1" s="1"/>
  <c r="AP284" i="1"/>
  <c r="AU284" i="1" s="1"/>
  <c r="AR284" i="1"/>
  <c r="AW284" i="1" s="1"/>
  <c r="AQ266" i="1"/>
  <c r="AO266" i="1"/>
  <c r="AR266" i="1"/>
  <c r="AP266" i="1"/>
  <c r="AR277" i="1"/>
  <c r="AO277" i="1"/>
  <c r="AQ277" i="1"/>
  <c r="AP277" i="1"/>
  <c r="AR251" i="1"/>
  <c r="AO251" i="1"/>
  <c r="AQ251" i="1"/>
  <c r="AP251" i="1"/>
  <c r="AQ250" i="1"/>
  <c r="AP250" i="1"/>
  <c r="AR250" i="1"/>
  <c r="AO250" i="1"/>
  <c r="AP234" i="1"/>
  <c r="AR234" i="1"/>
  <c r="AQ234" i="1"/>
  <c r="AO234" i="1"/>
  <c r="AQ221" i="1"/>
  <c r="AO221" i="1"/>
  <c r="AR221" i="1"/>
  <c r="AP221" i="1"/>
  <c r="AP141" i="1"/>
  <c r="AR141" i="1"/>
  <c r="AQ141" i="1"/>
  <c r="AO141" i="1"/>
  <c r="AR224" i="1"/>
  <c r="AP224" i="1"/>
  <c r="AO224" i="1"/>
  <c r="AQ224" i="1"/>
  <c r="AP149" i="1"/>
  <c r="AU149" i="1" s="1"/>
  <c r="AR149" i="1"/>
  <c r="AW149" i="1" s="1"/>
  <c r="AQ149" i="1"/>
  <c r="AV149" i="1" s="1"/>
  <c r="AO149" i="1"/>
  <c r="AT149" i="1" s="1"/>
  <c r="AO211" i="1"/>
  <c r="AT211" i="1" s="1"/>
  <c r="AQ211" i="1"/>
  <c r="AV211" i="1" s="1"/>
  <c r="AP211" i="1"/>
  <c r="AU211" i="1" s="1"/>
  <c r="AR211" i="1"/>
  <c r="AW211" i="1" s="1"/>
  <c r="AR123" i="1"/>
  <c r="AP123" i="1"/>
  <c r="AO123" i="1"/>
  <c r="AQ123" i="1"/>
  <c r="AP214" i="1"/>
  <c r="AU214" i="1" s="1"/>
  <c r="AR214" i="1"/>
  <c r="AW214" i="1" s="1"/>
  <c r="AQ214" i="1"/>
  <c r="AV214" i="1" s="1"/>
  <c r="AO214" i="1"/>
  <c r="AT214" i="1" s="1"/>
  <c r="AR78" i="1"/>
  <c r="AW78" i="1" s="1"/>
  <c r="AO78" i="1"/>
  <c r="AT78" i="1" s="1"/>
  <c r="AP78" i="1"/>
  <c r="AU78" i="1" s="1"/>
  <c r="AQ78" i="1"/>
  <c r="AV78" i="1" s="1"/>
  <c r="AP225" i="1"/>
  <c r="AR225" i="1"/>
  <c r="AQ225" i="1"/>
  <c r="AO225" i="1"/>
  <c r="AR139" i="1"/>
  <c r="AW139" i="1" s="1"/>
  <c r="AP139" i="1"/>
  <c r="AU139" i="1" s="1"/>
  <c r="AO139" i="1"/>
  <c r="AT139" i="1" s="1"/>
  <c r="AQ139" i="1"/>
  <c r="AV139" i="1" s="1"/>
  <c r="AP212" i="1"/>
  <c r="AU212" i="1" s="1"/>
  <c r="AR212" i="1"/>
  <c r="AW212" i="1" s="1"/>
  <c r="AQ212" i="1"/>
  <c r="AV212" i="1" s="1"/>
  <c r="AO212" i="1"/>
  <c r="AT212" i="1" s="1"/>
  <c r="AR102" i="1"/>
  <c r="AO102" i="1"/>
  <c r="AP102" i="1"/>
  <c r="AQ102" i="1"/>
  <c r="AR223" i="1"/>
  <c r="AO223" i="1"/>
  <c r="AP223" i="1"/>
  <c r="AQ223" i="1"/>
  <c r="AQ134" i="1"/>
  <c r="AR134" i="1"/>
  <c r="AP134" i="1"/>
  <c r="AO134" i="1"/>
  <c r="AO144" i="1"/>
  <c r="AT144" i="1" s="1"/>
  <c r="AP144" i="1"/>
  <c r="AU144" i="1" s="1"/>
  <c r="AQ144" i="1"/>
  <c r="AV144" i="1" s="1"/>
  <c r="AR144" i="1"/>
  <c r="AW144" i="1" s="1"/>
  <c r="AR80" i="1"/>
  <c r="AW80" i="1" s="1"/>
  <c r="AO80" i="1"/>
  <c r="AT80" i="1" s="1"/>
  <c r="AP80" i="1"/>
  <c r="AU80" i="1" s="1"/>
  <c r="AQ80" i="1"/>
  <c r="AV80" i="1" s="1"/>
  <c r="AO169" i="1"/>
  <c r="AP169" i="1"/>
  <c r="AQ169" i="1"/>
  <c r="AR169" i="1"/>
  <c r="AQ105" i="1"/>
  <c r="AO105" i="1"/>
  <c r="AR105" i="1"/>
  <c r="AP105" i="1"/>
  <c r="AQ41" i="1"/>
  <c r="AV41" i="1" s="1"/>
  <c r="AO41" i="1"/>
  <c r="AT41" i="1" s="1"/>
  <c r="AR41" i="1"/>
  <c r="AW41" i="1" s="1"/>
  <c r="AP41" i="1"/>
  <c r="AU41" i="1" s="1"/>
  <c r="AR124" i="1"/>
  <c r="AP124" i="1"/>
  <c r="AO124" i="1"/>
  <c r="AQ124" i="1"/>
  <c r="AR60" i="1"/>
  <c r="AP60" i="1"/>
  <c r="AO60" i="1"/>
  <c r="AQ60" i="1"/>
  <c r="AP135" i="1"/>
  <c r="AU135" i="1" s="1"/>
  <c r="AQ135" i="1"/>
  <c r="AV135" i="1" s="1"/>
  <c r="AO135" i="1"/>
  <c r="AT135" i="1" s="1"/>
  <c r="AR135" i="1"/>
  <c r="AW135" i="1" s="1"/>
  <c r="AP71" i="1"/>
  <c r="AU71" i="1" s="1"/>
  <c r="AQ71" i="1"/>
  <c r="AV71" i="1" s="1"/>
  <c r="AO71" i="1"/>
  <c r="AT71" i="1" s="1"/>
  <c r="AR71" i="1"/>
  <c r="AW71" i="1" s="1"/>
  <c r="AP154" i="1"/>
  <c r="AU154" i="1" s="1"/>
  <c r="AO154" i="1"/>
  <c r="AT154" i="1" s="1"/>
  <c r="AR154" i="1"/>
  <c r="AW154" i="1" s="1"/>
  <c r="AQ154" i="1"/>
  <c r="AV154" i="1" s="1"/>
  <c r="AP90" i="1"/>
  <c r="AO90" i="1"/>
  <c r="AR90" i="1"/>
  <c r="AQ90" i="1"/>
  <c r="AP109" i="1"/>
  <c r="AO109" i="1"/>
  <c r="AR109" i="1"/>
  <c r="AQ109" i="1"/>
  <c r="AP45" i="1"/>
  <c r="AO45" i="1"/>
  <c r="AR45" i="1"/>
  <c r="AQ45" i="1"/>
  <c r="AH236" i="1"/>
  <c r="AG236" i="1"/>
  <c r="AG60" i="1"/>
  <c r="AH60" i="1"/>
  <c r="AH66" i="1"/>
  <c r="AG66" i="1"/>
  <c r="AH284" i="1"/>
  <c r="AG284" i="1"/>
  <c r="AH250" i="1"/>
  <c r="AG250" i="1"/>
  <c r="AH258" i="1"/>
  <c r="AG258" i="1"/>
  <c r="AG287" i="1"/>
  <c r="AH287" i="1"/>
  <c r="AG223" i="1"/>
  <c r="AH223" i="1"/>
  <c r="AH68" i="1"/>
  <c r="AG68" i="1"/>
  <c r="AG233" i="1"/>
  <c r="AH233" i="1"/>
  <c r="AH140" i="1"/>
  <c r="AG140" i="1"/>
  <c r="AH270" i="1"/>
  <c r="AG270" i="1"/>
  <c r="AH206" i="1"/>
  <c r="AG206" i="1"/>
  <c r="AH74" i="1"/>
  <c r="AG74" i="1"/>
  <c r="AH243" i="1"/>
  <c r="AG243" i="1"/>
  <c r="AH148" i="1"/>
  <c r="AG148" i="1"/>
  <c r="AH272" i="1"/>
  <c r="AG272" i="1"/>
  <c r="AH208" i="1"/>
  <c r="AG208" i="1"/>
  <c r="AH50" i="1"/>
  <c r="AG50" i="1"/>
  <c r="AG237" i="1"/>
  <c r="AH237" i="1"/>
  <c r="AH174" i="1"/>
  <c r="AG174" i="1"/>
  <c r="AH135" i="1"/>
  <c r="AG135" i="1"/>
  <c r="AH71" i="1"/>
  <c r="AG71" i="1"/>
  <c r="AG176" i="1"/>
  <c r="AH176" i="1"/>
  <c r="AH105" i="1"/>
  <c r="AG105" i="1"/>
  <c r="AH40" i="1"/>
  <c r="AG40" i="1"/>
  <c r="AG165" i="1"/>
  <c r="AH165" i="1"/>
  <c r="AG102" i="1"/>
  <c r="AH102" i="1"/>
  <c r="AG45" i="1"/>
  <c r="AH45" i="1"/>
  <c r="AG162" i="1"/>
  <c r="AH162" i="1"/>
  <c r="AG99" i="1"/>
  <c r="AH99" i="1"/>
  <c r="AG34" i="1"/>
  <c r="AH34" i="1"/>
  <c r="AG160" i="1"/>
  <c r="AH160" i="1"/>
  <c r="AG96" i="1"/>
  <c r="AH96" i="1"/>
  <c r="AG17" i="1"/>
  <c r="AH17" i="1"/>
  <c r="AG141" i="1"/>
  <c r="AH141" i="1"/>
  <c r="AG77" i="1"/>
  <c r="AH77" i="1"/>
  <c r="AG22" i="1"/>
  <c r="AH22" i="1"/>
  <c r="AR12" i="1"/>
  <c r="AW12" i="1" s="1"/>
  <c r="AO12" i="1"/>
  <c r="AT12" i="1" s="1"/>
  <c r="AQ12" i="1"/>
  <c r="AV12" i="1" s="1"/>
  <c r="AP12" i="1"/>
  <c r="AU12" i="1" s="1"/>
  <c r="AO18" i="1"/>
  <c r="AT18" i="1" s="1"/>
  <c r="AQ18" i="1"/>
  <c r="AV18" i="1" s="1"/>
  <c r="AR18" i="1"/>
  <c r="AW18" i="1" s="1"/>
  <c r="AP18" i="1"/>
  <c r="AU18" i="1" s="1"/>
  <c r="AR16" i="1"/>
  <c r="AQ16" i="1"/>
  <c r="AO16" i="1"/>
  <c r="AP16" i="1"/>
  <c r="AO276" i="1"/>
  <c r="AQ276" i="1"/>
  <c r="AR276" i="1"/>
  <c r="AP276" i="1"/>
  <c r="AQ282" i="1"/>
  <c r="AR282" i="1"/>
  <c r="AO282" i="1"/>
  <c r="AP282" i="1"/>
  <c r="AP271" i="1"/>
  <c r="AO271" i="1"/>
  <c r="AQ271" i="1"/>
  <c r="AR271" i="1"/>
  <c r="AO226" i="1"/>
  <c r="AP226" i="1"/>
  <c r="AQ226" i="1"/>
  <c r="AR226" i="1"/>
  <c r="AO210" i="1"/>
  <c r="AT210" i="1" s="1"/>
  <c r="AQ210" i="1"/>
  <c r="AV210" i="1" s="1"/>
  <c r="AR210" i="1"/>
  <c r="AW210" i="1" s="1"/>
  <c r="AP210" i="1"/>
  <c r="AU210" i="1" s="1"/>
  <c r="AQ163" i="1"/>
  <c r="AO163" i="1"/>
  <c r="AP163" i="1"/>
  <c r="AR163" i="1"/>
  <c r="AP213" i="1"/>
  <c r="AU213" i="1" s="1"/>
  <c r="AR213" i="1"/>
  <c r="AW213" i="1" s="1"/>
  <c r="AO213" i="1"/>
  <c r="AT213" i="1" s="1"/>
  <c r="AQ213" i="1"/>
  <c r="AV213" i="1" s="1"/>
  <c r="AP99" i="1"/>
  <c r="AR99" i="1"/>
  <c r="AO99" i="1"/>
  <c r="AQ99" i="1"/>
  <c r="AQ216" i="1"/>
  <c r="AO216" i="1"/>
  <c r="AP216" i="1"/>
  <c r="AR216" i="1"/>
  <c r="AQ115" i="1"/>
  <c r="AO115" i="1"/>
  <c r="AP115" i="1"/>
  <c r="AR115" i="1"/>
  <c r="AR203" i="1"/>
  <c r="AP203" i="1"/>
  <c r="AQ203" i="1"/>
  <c r="AO203" i="1"/>
  <c r="AP91" i="1"/>
  <c r="AR91" i="1"/>
  <c r="AO91" i="1"/>
  <c r="AQ91" i="1"/>
  <c r="AO206" i="1"/>
  <c r="AT206" i="1" s="1"/>
  <c r="AQ206" i="1"/>
  <c r="AV206" i="1" s="1"/>
  <c r="AR206" i="1"/>
  <c r="AW206" i="1" s="1"/>
  <c r="AP206" i="1"/>
  <c r="AU206" i="1" s="1"/>
  <c r="AQ46" i="1"/>
  <c r="AV46" i="1" s="1"/>
  <c r="AP46" i="1"/>
  <c r="AU46" i="1" s="1"/>
  <c r="AO46" i="1"/>
  <c r="AT46" i="1" s="1"/>
  <c r="AR46" i="1"/>
  <c r="AW46" i="1" s="1"/>
  <c r="AO217" i="1"/>
  <c r="AQ217" i="1"/>
  <c r="AR217" i="1"/>
  <c r="AP217" i="1"/>
  <c r="AR118" i="1"/>
  <c r="AO118" i="1"/>
  <c r="AQ118" i="1"/>
  <c r="AP118" i="1"/>
  <c r="AO204" i="1"/>
  <c r="AQ204" i="1"/>
  <c r="AR204" i="1"/>
  <c r="AP204" i="1"/>
  <c r="AQ70" i="1"/>
  <c r="AV70" i="1" s="1"/>
  <c r="AP70" i="1"/>
  <c r="AU70" i="1" s="1"/>
  <c r="AO70" i="1"/>
  <c r="AT70" i="1" s="1"/>
  <c r="AR70" i="1"/>
  <c r="AW70" i="1" s="1"/>
  <c r="AQ215" i="1"/>
  <c r="AV215" i="1" s="1"/>
  <c r="AP215" i="1"/>
  <c r="AU215" i="1" s="1"/>
  <c r="AR215" i="1"/>
  <c r="AW215" i="1" s="1"/>
  <c r="AO215" i="1"/>
  <c r="AT215" i="1" s="1"/>
  <c r="AQ125" i="1"/>
  <c r="AP125" i="1"/>
  <c r="AR125" i="1"/>
  <c r="AO125" i="1"/>
  <c r="AR136" i="1"/>
  <c r="AW136" i="1" s="1"/>
  <c r="AQ136" i="1"/>
  <c r="AV136" i="1" s="1"/>
  <c r="AO136" i="1"/>
  <c r="AT136" i="1" s="1"/>
  <c r="AP136" i="1"/>
  <c r="AU136" i="1" s="1"/>
  <c r="AP72" i="1"/>
  <c r="AU72" i="1" s="1"/>
  <c r="AQ72" i="1"/>
  <c r="AV72" i="1" s="1"/>
  <c r="AO72" i="1"/>
  <c r="AT72" i="1" s="1"/>
  <c r="AR72" i="1"/>
  <c r="AW72" i="1" s="1"/>
  <c r="AO161" i="1"/>
  <c r="AP161" i="1"/>
  <c r="AQ161" i="1"/>
  <c r="AR161" i="1"/>
  <c r="AQ97" i="1"/>
  <c r="AO97" i="1"/>
  <c r="AR97" i="1"/>
  <c r="AP97" i="1"/>
  <c r="AQ33" i="1"/>
  <c r="AO33" i="1"/>
  <c r="AR33" i="1"/>
  <c r="AP33" i="1"/>
  <c r="AR116" i="1"/>
  <c r="AQ116" i="1"/>
  <c r="AO116" i="1"/>
  <c r="AP116" i="1"/>
  <c r="AR52" i="1"/>
  <c r="AW52" i="1" s="1"/>
  <c r="AP52" i="1"/>
  <c r="AU52" i="1" s="1"/>
  <c r="AO52" i="1"/>
  <c r="AT52" i="1" s="1"/>
  <c r="AQ52" i="1"/>
  <c r="AV52" i="1" s="1"/>
  <c r="AP127" i="1"/>
  <c r="AQ127" i="1"/>
  <c r="AO127" i="1"/>
  <c r="AR127" i="1"/>
  <c r="AP63" i="1"/>
  <c r="AU63" i="1" s="1"/>
  <c r="AQ63" i="1"/>
  <c r="AV63" i="1" s="1"/>
  <c r="AO63" i="1"/>
  <c r="AT63" i="1" s="1"/>
  <c r="AR63" i="1"/>
  <c r="AW63" i="1" s="1"/>
  <c r="AP146" i="1"/>
  <c r="AO146" i="1"/>
  <c r="AQ146" i="1"/>
  <c r="AR146" i="1"/>
  <c r="AP82" i="1"/>
  <c r="AO82" i="1"/>
  <c r="AQ82" i="1"/>
  <c r="AR82" i="1"/>
  <c r="AP101" i="1"/>
  <c r="AO101" i="1"/>
  <c r="AQ101" i="1"/>
  <c r="AR101" i="1"/>
  <c r="AP37" i="1"/>
  <c r="AU37" i="1" s="1"/>
  <c r="AO37" i="1"/>
  <c r="AT37" i="1" s="1"/>
  <c r="AQ37" i="1"/>
  <c r="AV37" i="1" s="1"/>
  <c r="AR37" i="1"/>
  <c r="AW37" i="1" s="1"/>
  <c r="AH266" i="1"/>
  <c r="AG266" i="1"/>
  <c r="AH169" i="1"/>
  <c r="AG169" i="1"/>
  <c r="AH252" i="1"/>
  <c r="AG252" i="1"/>
  <c r="AG210" i="1"/>
  <c r="AH210" i="1"/>
  <c r="AH279" i="1"/>
  <c r="AG279" i="1"/>
  <c r="AH215" i="1"/>
  <c r="AG215" i="1"/>
  <c r="AG29" i="1"/>
  <c r="AH29" i="1"/>
  <c r="AH225" i="1"/>
  <c r="AG225" i="1"/>
  <c r="AG108" i="1"/>
  <c r="AH108" i="1"/>
  <c r="AG262" i="1"/>
  <c r="AH262" i="1"/>
  <c r="AG203" i="1"/>
  <c r="AH203" i="1"/>
  <c r="AG33" i="1"/>
  <c r="AH33" i="1"/>
  <c r="AG235" i="1"/>
  <c r="AH235" i="1"/>
  <c r="AG116" i="1"/>
  <c r="AH116" i="1"/>
  <c r="AG264" i="1"/>
  <c r="AH264" i="1"/>
  <c r="AG197" i="1"/>
  <c r="AH197" i="1"/>
  <c r="AG41" i="1"/>
  <c r="AH41" i="1"/>
  <c r="AG229" i="1"/>
  <c r="AH229" i="1"/>
  <c r="AG154" i="1"/>
  <c r="AH154" i="1"/>
  <c r="AH127" i="1"/>
  <c r="AG127" i="1"/>
  <c r="AH63" i="1"/>
  <c r="AG63" i="1"/>
  <c r="AG168" i="1"/>
  <c r="AH168" i="1"/>
  <c r="AH97" i="1"/>
  <c r="AG97" i="1"/>
  <c r="AH32" i="1"/>
  <c r="AG32" i="1"/>
  <c r="AG158" i="1"/>
  <c r="AH158" i="1"/>
  <c r="AG94" i="1"/>
  <c r="AH94" i="1"/>
  <c r="AG37" i="1"/>
  <c r="AH37" i="1"/>
  <c r="AG155" i="1"/>
  <c r="AH155" i="1"/>
  <c r="AG91" i="1"/>
  <c r="AH91" i="1"/>
  <c r="AG28" i="1"/>
  <c r="AH28" i="1"/>
  <c r="AG152" i="1"/>
  <c r="AH152" i="1"/>
  <c r="AG88" i="1"/>
  <c r="AH88" i="1"/>
  <c r="AG10" i="1"/>
  <c r="AH10" i="1"/>
  <c r="AG133" i="1"/>
  <c r="AH133" i="1"/>
  <c r="AG69" i="1"/>
  <c r="AH69" i="1"/>
  <c r="AG14" i="1"/>
  <c r="AH14" i="1"/>
  <c r="AR4" i="1"/>
  <c r="AW4" i="1" s="1"/>
  <c r="AQ4" i="1"/>
  <c r="AV4" i="1" s="1"/>
  <c r="AO4" i="1"/>
  <c r="AT4" i="1" s="1"/>
  <c r="AP4" i="1"/>
  <c r="AU4" i="1" s="1"/>
  <c r="AP10" i="1"/>
  <c r="AO10" i="1"/>
  <c r="AR10" i="1"/>
  <c r="AQ10" i="1"/>
  <c r="AP8" i="1"/>
  <c r="AR8" i="1"/>
  <c r="AO8" i="1"/>
  <c r="AQ8" i="1"/>
  <c r="AQ274" i="1"/>
  <c r="AV274" i="1" s="1"/>
  <c r="AO274" i="1"/>
  <c r="AT274" i="1" s="1"/>
  <c r="AP274" i="1"/>
  <c r="AU274" i="1" s="1"/>
  <c r="AR274" i="1"/>
  <c r="AW274" i="1" s="1"/>
  <c r="AP267" i="1"/>
  <c r="AR267" i="1"/>
  <c r="AQ267" i="1"/>
  <c r="AO267" i="1"/>
  <c r="AR259" i="1"/>
  <c r="AO259" i="1"/>
  <c r="AQ259" i="1"/>
  <c r="AP259" i="1"/>
  <c r="AR142" i="1"/>
  <c r="AW142" i="1" s="1"/>
  <c r="AP142" i="1"/>
  <c r="AU142" i="1" s="1"/>
  <c r="AQ142" i="1"/>
  <c r="AV142" i="1" s="1"/>
  <c r="AO142" i="1"/>
  <c r="AT142" i="1" s="1"/>
  <c r="AP133" i="1"/>
  <c r="AU133" i="1" s="1"/>
  <c r="AR133" i="1"/>
  <c r="AW133" i="1" s="1"/>
  <c r="AO133" i="1"/>
  <c r="AT133" i="1" s="1"/>
  <c r="AQ133" i="1"/>
  <c r="AV133" i="1" s="1"/>
  <c r="AO269" i="1"/>
  <c r="AQ269" i="1"/>
  <c r="AR269" i="1"/>
  <c r="AP269" i="1"/>
  <c r="AQ205" i="1"/>
  <c r="AO205" i="1"/>
  <c r="AP205" i="1"/>
  <c r="AR205" i="1"/>
  <c r="AQ67" i="1"/>
  <c r="AO67" i="1"/>
  <c r="AP67" i="1"/>
  <c r="AR67" i="1"/>
  <c r="AR208" i="1"/>
  <c r="AW208" i="1" s="1"/>
  <c r="AP208" i="1"/>
  <c r="AU208" i="1" s="1"/>
  <c r="AQ208" i="1"/>
  <c r="AV208" i="1" s="1"/>
  <c r="AO208" i="1"/>
  <c r="AT208" i="1" s="1"/>
  <c r="AR86" i="1"/>
  <c r="AW86" i="1" s="1"/>
  <c r="AO86" i="1"/>
  <c r="AT86" i="1" s="1"/>
  <c r="AQ86" i="1"/>
  <c r="AV86" i="1" s="1"/>
  <c r="AP86" i="1"/>
  <c r="AU86" i="1" s="1"/>
  <c r="AO195" i="1"/>
  <c r="AQ195" i="1"/>
  <c r="AR195" i="1"/>
  <c r="AP195" i="1"/>
  <c r="AQ59" i="1"/>
  <c r="AV59" i="1" s="1"/>
  <c r="AO59" i="1"/>
  <c r="AT59" i="1" s="1"/>
  <c r="AR59" i="1"/>
  <c r="AW59" i="1" s="1"/>
  <c r="AP59" i="1"/>
  <c r="AU59" i="1" s="1"/>
  <c r="AP198" i="1"/>
  <c r="AR198" i="1"/>
  <c r="AQ198" i="1"/>
  <c r="AO198" i="1"/>
  <c r="AO273" i="1"/>
  <c r="AT273" i="1" s="1"/>
  <c r="AQ273" i="1"/>
  <c r="AV273" i="1" s="1"/>
  <c r="AR273" i="1"/>
  <c r="AW273" i="1" s="1"/>
  <c r="AP273" i="1"/>
  <c r="AU273" i="1" s="1"/>
  <c r="AP209" i="1"/>
  <c r="AU209" i="1" s="1"/>
  <c r="AR209" i="1"/>
  <c r="AW209" i="1" s="1"/>
  <c r="AQ209" i="1"/>
  <c r="AV209" i="1" s="1"/>
  <c r="AO209" i="1"/>
  <c r="AT209" i="1" s="1"/>
  <c r="AQ83" i="1"/>
  <c r="AV83" i="1" s="1"/>
  <c r="AO83" i="1"/>
  <c r="AT83" i="1" s="1"/>
  <c r="AR83" i="1"/>
  <c r="AW83" i="1" s="1"/>
  <c r="AP83" i="1"/>
  <c r="AU83" i="1" s="1"/>
  <c r="AP196" i="1"/>
  <c r="AR196" i="1"/>
  <c r="AQ196" i="1"/>
  <c r="AO196" i="1"/>
  <c r="AR38" i="1"/>
  <c r="AO38" i="1"/>
  <c r="AQ38" i="1"/>
  <c r="AP38" i="1"/>
  <c r="AR207" i="1"/>
  <c r="AW207" i="1" s="1"/>
  <c r="AQ207" i="1"/>
  <c r="AV207" i="1" s="1"/>
  <c r="AP207" i="1"/>
  <c r="AU207" i="1" s="1"/>
  <c r="AO207" i="1"/>
  <c r="AT207" i="1" s="1"/>
  <c r="AO107" i="1"/>
  <c r="AT107" i="1" s="1"/>
  <c r="AR107" i="1"/>
  <c r="AW107" i="1" s="1"/>
  <c r="AQ107" i="1"/>
  <c r="AV107" i="1" s="1"/>
  <c r="AP107" i="1"/>
  <c r="AU107" i="1" s="1"/>
  <c r="AO128" i="1"/>
  <c r="AR128" i="1"/>
  <c r="AQ128" i="1"/>
  <c r="AP128" i="1"/>
  <c r="AP64" i="1"/>
  <c r="AU64" i="1" s="1"/>
  <c r="AQ64" i="1"/>
  <c r="AV64" i="1" s="1"/>
  <c r="AO64" i="1"/>
  <c r="AT64" i="1" s="1"/>
  <c r="AR64" i="1"/>
  <c r="AW64" i="1" s="1"/>
  <c r="AO153" i="1"/>
  <c r="AT153" i="1" s="1"/>
  <c r="AP153" i="1"/>
  <c r="AU153" i="1" s="1"/>
  <c r="AQ153" i="1"/>
  <c r="AV153" i="1" s="1"/>
  <c r="AR153" i="1"/>
  <c r="AW153" i="1" s="1"/>
  <c r="AQ89" i="1"/>
  <c r="AO89" i="1"/>
  <c r="AR89" i="1"/>
  <c r="AP89" i="1"/>
  <c r="AR172" i="1"/>
  <c r="AP172" i="1"/>
  <c r="AO172" i="1"/>
  <c r="AQ172" i="1"/>
  <c r="AR108" i="1"/>
  <c r="AW108" i="1" s="1"/>
  <c r="AP108" i="1"/>
  <c r="AU108" i="1" s="1"/>
  <c r="AO108" i="1"/>
  <c r="AT108" i="1" s="1"/>
  <c r="AQ108" i="1"/>
  <c r="AV108" i="1" s="1"/>
  <c r="AR44" i="1"/>
  <c r="AP44" i="1"/>
  <c r="AO44" i="1"/>
  <c r="AQ44" i="1"/>
  <c r="AP119" i="1"/>
  <c r="AQ119" i="1"/>
  <c r="AO119" i="1"/>
  <c r="AR119" i="1"/>
  <c r="AP55" i="1"/>
  <c r="AU55" i="1" s="1"/>
  <c r="AR55" i="1"/>
  <c r="AW55" i="1" s="1"/>
  <c r="AO55" i="1"/>
  <c r="AT55" i="1" s="1"/>
  <c r="AQ55" i="1"/>
  <c r="AV55" i="1" s="1"/>
  <c r="AP138" i="1"/>
  <c r="AU138" i="1" s="1"/>
  <c r="AO138" i="1"/>
  <c r="AT138" i="1" s="1"/>
  <c r="AR138" i="1"/>
  <c r="AW138" i="1" s="1"/>
  <c r="AQ138" i="1"/>
  <c r="AV138" i="1" s="1"/>
  <c r="AP74" i="1"/>
  <c r="AU74" i="1" s="1"/>
  <c r="AO74" i="1"/>
  <c r="AT74" i="1" s="1"/>
  <c r="AR74" i="1"/>
  <c r="AW74" i="1" s="1"/>
  <c r="AQ74" i="1"/>
  <c r="AV74" i="1" s="1"/>
  <c r="AP93" i="1"/>
  <c r="AO93" i="1"/>
  <c r="AR93" i="1"/>
  <c r="AQ93" i="1"/>
  <c r="AP29" i="1"/>
  <c r="AO29" i="1"/>
  <c r="AR29" i="1"/>
  <c r="AQ29" i="1"/>
  <c r="AG255" i="1"/>
  <c r="AH255" i="1"/>
  <c r="AH275" i="1"/>
  <c r="AG275" i="1"/>
  <c r="AH191" i="1"/>
  <c r="AG191" i="1"/>
  <c r="AG274" i="1"/>
  <c r="AH274" i="1"/>
  <c r="AG228" i="1"/>
  <c r="AH228" i="1"/>
  <c r="AG90" i="1"/>
  <c r="AH90" i="1"/>
  <c r="AG122" i="1"/>
  <c r="AH122" i="1"/>
  <c r="AH271" i="1"/>
  <c r="AG271" i="1"/>
  <c r="AH207" i="1"/>
  <c r="AG207" i="1"/>
  <c r="AH281" i="1"/>
  <c r="AG281" i="1"/>
  <c r="AH217" i="1"/>
  <c r="AG217" i="1"/>
  <c r="AG76" i="1"/>
  <c r="AH76" i="1"/>
  <c r="AG254" i="1"/>
  <c r="AH254" i="1"/>
  <c r="AG195" i="1"/>
  <c r="AH195" i="1"/>
  <c r="AG4" i="1"/>
  <c r="AH4" i="1"/>
  <c r="AG227" i="1"/>
  <c r="AH227" i="1"/>
  <c r="AG84" i="1"/>
  <c r="AH84" i="1"/>
  <c r="AG256" i="1"/>
  <c r="AH256" i="1"/>
  <c r="AG189" i="1"/>
  <c r="AH189" i="1"/>
  <c r="AG285" i="1"/>
  <c r="AH285" i="1"/>
  <c r="AG221" i="1"/>
  <c r="AH221" i="1"/>
  <c r="AG124" i="1"/>
  <c r="AH124" i="1"/>
  <c r="AH119" i="1"/>
  <c r="AG119" i="1"/>
  <c r="AH55" i="1"/>
  <c r="AG55" i="1"/>
  <c r="AG153" i="1"/>
  <c r="AH153" i="1"/>
  <c r="AH89" i="1"/>
  <c r="AG89" i="1"/>
  <c r="AH26" i="1"/>
  <c r="AG26" i="1"/>
  <c r="AG150" i="1"/>
  <c r="AH150" i="1"/>
  <c r="AG86" i="1"/>
  <c r="AH86" i="1"/>
  <c r="AG31" i="1"/>
  <c r="AH31" i="1"/>
  <c r="AG147" i="1"/>
  <c r="AH147" i="1"/>
  <c r="AG83" i="1"/>
  <c r="AH83" i="1"/>
  <c r="AG20" i="1"/>
  <c r="AH20" i="1"/>
  <c r="AG144" i="1"/>
  <c r="AH144" i="1"/>
  <c r="AG80" i="1"/>
  <c r="AH80" i="1"/>
  <c r="AG2" i="1"/>
  <c r="AH2" i="1"/>
  <c r="AG125" i="1"/>
  <c r="AH125" i="1"/>
  <c r="AG61" i="1"/>
  <c r="AH61" i="1"/>
  <c r="AG7" i="1"/>
  <c r="AH7" i="1"/>
  <c r="AP14" i="1"/>
  <c r="AU14" i="1" s="1"/>
  <c r="AO14" i="1"/>
  <c r="AT14" i="1" s="1"/>
  <c r="AQ14" i="1"/>
  <c r="AV14" i="1" s="1"/>
  <c r="AR14" i="1"/>
  <c r="AW14" i="1" s="1"/>
  <c r="AQ21" i="1"/>
  <c r="AV21" i="1" s="1"/>
  <c r="AR21" i="1"/>
  <c r="AW21" i="1" s="1"/>
  <c r="AO21" i="1"/>
  <c r="AT21" i="1" s="1"/>
  <c r="AP21" i="1"/>
  <c r="AU21" i="1" s="1"/>
  <c r="AR27" i="1"/>
  <c r="AO27" i="1"/>
  <c r="AP27" i="1"/>
  <c r="AQ27" i="1"/>
  <c r="AO194" i="1"/>
  <c r="AP194" i="1"/>
  <c r="AQ194" i="1"/>
  <c r="AR194" i="1"/>
  <c r="AO252" i="1"/>
  <c r="AP252" i="1"/>
  <c r="AR252" i="1"/>
  <c r="AQ252" i="1"/>
  <c r="AO202" i="1"/>
  <c r="AT202" i="1" s="1"/>
  <c r="AP202" i="1"/>
  <c r="AU202" i="1" s="1"/>
  <c r="AQ202" i="1"/>
  <c r="AV202" i="1" s="1"/>
  <c r="AR202" i="1"/>
  <c r="AW202" i="1" s="1"/>
  <c r="AO286" i="1"/>
  <c r="AT286" i="1" s="1"/>
  <c r="AQ286" i="1"/>
  <c r="AV286" i="1" s="1"/>
  <c r="AR286" i="1"/>
  <c r="AW286" i="1" s="1"/>
  <c r="AP286" i="1"/>
  <c r="AU286" i="1" s="1"/>
  <c r="AQ94" i="1"/>
  <c r="AP94" i="1"/>
  <c r="AO94" i="1"/>
  <c r="AR94" i="1"/>
  <c r="AP261" i="1"/>
  <c r="AQ261" i="1"/>
  <c r="AO261" i="1"/>
  <c r="AR261" i="1"/>
  <c r="AP197" i="1"/>
  <c r="AR197" i="1"/>
  <c r="AO197" i="1"/>
  <c r="AQ197" i="1"/>
  <c r="AP35" i="1"/>
  <c r="AR35" i="1"/>
  <c r="AO35" i="1"/>
  <c r="AQ35" i="1"/>
  <c r="AQ200" i="1"/>
  <c r="AO200" i="1"/>
  <c r="AP200" i="1"/>
  <c r="AR200" i="1"/>
  <c r="AQ54" i="1"/>
  <c r="AV54" i="1" s="1"/>
  <c r="AP54" i="1"/>
  <c r="AU54" i="1" s="1"/>
  <c r="AO54" i="1"/>
  <c r="AT54" i="1" s="1"/>
  <c r="AR54" i="1"/>
  <c r="AW54" i="1" s="1"/>
  <c r="AR187" i="1"/>
  <c r="AW187" i="1" s="1"/>
  <c r="AP187" i="1"/>
  <c r="AU187" i="1" s="1"/>
  <c r="AQ187" i="1"/>
  <c r="AV187" i="1" s="1"/>
  <c r="AO187" i="1"/>
  <c r="AT187" i="1" s="1"/>
  <c r="AP254" i="1"/>
  <c r="AO254" i="1"/>
  <c r="AR254" i="1"/>
  <c r="AQ254" i="1"/>
  <c r="AO190" i="1"/>
  <c r="AQ190" i="1"/>
  <c r="AR190" i="1"/>
  <c r="AP190" i="1"/>
  <c r="AR265" i="1"/>
  <c r="AO265" i="1"/>
  <c r="AP265" i="1"/>
  <c r="AQ265" i="1"/>
  <c r="AO201" i="1"/>
  <c r="AQ201" i="1"/>
  <c r="AR201" i="1"/>
  <c r="AP201" i="1"/>
  <c r="AP51" i="1"/>
  <c r="AU51" i="1" s="1"/>
  <c r="AR51" i="1"/>
  <c r="AW51" i="1" s="1"/>
  <c r="AO51" i="1"/>
  <c r="AT51" i="1" s="1"/>
  <c r="AQ51" i="1"/>
  <c r="AV51" i="1" s="1"/>
  <c r="AO188" i="1"/>
  <c r="AQ188" i="1"/>
  <c r="AR188" i="1"/>
  <c r="AP188" i="1"/>
  <c r="AP263" i="1"/>
  <c r="AO263" i="1"/>
  <c r="AR263" i="1"/>
  <c r="AQ263" i="1"/>
  <c r="AQ199" i="1"/>
  <c r="AO199" i="1"/>
  <c r="AR199" i="1"/>
  <c r="AP199" i="1"/>
  <c r="AR75" i="1"/>
  <c r="AW75" i="1" s="1"/>
  <c r="AP75" i="1"/>
  <c r="AU75" i="1" s="1"/>
  <c r="AQ75" i="1"/>
  <c r="AV75" i="1" s="1"/>
  <c r="AO75" i="1"/>
  <c r="AT75" i="1" s="1"/>
  <c r="AR120" i="1"/>
  <c r="AP120" i="1"/>
  <c r="AO120" i="1"/>
  <c r="AQ120" i="1"/>
  <c r="AP56" i="1"/>
  <c r="AQ56" i="1"/>
  <c r="AO56" i="1"/>
  <c r="AR56" i="1"/>
  <c r="AO145" i="1"/>
  <c r="AT145" i="1" s="1"/>
  <c r="AP145" i="1"/>
  <c r="AU145" i="1" s="1"/>
  <c r="AQ145" i="1"/>
  <c r="AV145" i="1" s="1"/>
  <c r="AR145" i="1"/>
  <c r="AW145" i="1" s="1"/>
  <c r="AQ81" i="1"/>
  <c r="AV81" i="1" s="1"/>
  <c r="AP81" i="1"/>
  <c r="AU81" i="1" s="1"/>
  <c r="AR81" i="1"/>
  <c r="AW81" i="1" s="1"/>
  <c r="AO81" i="1"/>
  <c r="AT81" i="1" s="1"/>
  <c r="AR164" i="1"/>
  <c r="AP164" i="1"/>
  <c r="AO164" i="1"/>
  <c r="AQ164" i="1"/>
  <c r="AR100" i="1"/>
  <c r="AQ100" i="1"/>
  <c r="AO100" i="1"/>
  <c r="AP100" i="1"/>
  <c r="AR36" i="1"/>
  <c r="AQ36" i="1"/>
  <c r="AO36" i="1"/>
  <c r="AP36" i="1"/>
  <c r="AP111" i="1"/>
  <c r="AQ111" i="1"/>
  <c r="AO111" i="1"/>
  <c r="AR111" i="1"/>
  <c r="AP47" i="1"/>
  <c r="AU47" i="1" s="1"/>
  <c r="AQ47" i="1"/>
  <c r="AV47" i="1" s="1"/>
  <c r="AO47" i="1"/>
  <c r="AT47" i="1" s="1"/>
  <c r="AR47" i="1"/>
  <c r="AW47" i="1" s="1"/>
  <c r="AP130" i="1"/>
  <c r="AQ130" i="1"/>
  <c r="AR130" i="1"/>
  <c r="AO130" i="1"/>
  <c r="AP66" i="1"/>
  <c r="AQ66" i="1"/>
  <c r="AR66" i="1"/>
  <c r="AO66" i="1"/>
  <c r="AP85" i="1"/>
  <c r="AU85" i="1" s="1"/>
  <c r="AQ85" i="1"/>
  <c r="AV85" i="1" s="1"/>
  <c r="AR85" i="1"/>
  <c r="AW85" i="1" s="1"/>
  <c r="AO85" i="1"/>
  <c r="AT85" i="1" s="1"/>
  <c r="AJ204" i="1" a="1"/>
  <c r="AJ196" i="1" a="1"/>
  <c r="AJ145" i="1" a="1"/>
  <c r="AJ43" i="1" a="1"/>
  <c r="AJ137" i="1" a="1"/>
  <c r="AJ156" i="1" a="1"/>
  <c r="AJ257" i="1" a="1"/>
  <c r="AJ65" i="1" a="1"/>
  <c r="AJ87" i="1" a="1"/>
  <c r="AJ282" i="1" a="1"/>
  <c r="AJ113" i="1" a="1"/>
  <c r="AJ66" i="1" a="1"/>
  <c r="AJ140" i="1" a="1"/>
  <c r="AJ243" i="1" a="1"/>
  <c r="AJ50" i="1" a="1"/>
  <c r="AJ71" i="1" a="1"/>
  <c r="AJ266" i="1" a="1"/>
  <c r="AJ279" i="1" a="1"/>
  <c r="AJ63" i="1" a="1"/>
  <c r="AJ207" i="1" a="1"/>
  <c r="AJ265" i="1" a="1"/>
  <c r="AJ246" i="1" a="1"/>
  <c r="AJ52" i="1" a="1"/>
  <c r="AJ213" i="1" a="1"/>
  <c r="AJ78" i="1" a="1"/>
  <c r="AJ12" i="1" a="1"/>
  <c r="AJ117" i="1" a="1"/>
  <c r="AJ70" i="1" a="1"/>
  <c r="AJ5" i="1" a="1"/>
  <c r="AJ109" i="1" a="1"/>
  <c r="AJ260" i="1" a="1"/>
  <c r="AJ163" i="1" a="1"/>
  <c r="AJ232" i="1" a="1"/>
  <c r="AJ21" i="1" a="1"/>
  <c r="AJ8" i="1" a="1"/>
  <c r="AJ120" i="1" a="1"/>
  <c r="AJ44" i="1" a="1"/>
  <c r="AJ220" i="1" a="1"/>
  <c r="AJ179" i="1" a="1"/>
  <c r="AJ177" i="1" a="1"/>
  <c r="AJ259" i="1" a="1"/>
  <c r="AJ114" i="1" a="1"/>
  <c r="AJ181" i="1" a="1"/>
  <c r="AJ115" i="1" a="1"/>
  <c r="AJ39" i="1" a="1"/>
  <c r="AJ188" i="1" a="1"/>
  <c r="AJ100" i="1" a="1"/>
  <c r="AJ214" i="1" a="1"/>
  <c r="AJ280" i="1" a="1"/>
  <c r="AJ186" i="1" a="1"/>
  <c r="AJ48" i="1" a="1"/>
  <c r="AJ167" i="1" a="1"/>
  <c r="AJ85" i="1" a="1"/>
  <c r="AJ287" i="1" a="1"/>
  <c r="AJ165" i="1" a="1"/>
  <c r="AJ99" i="1" a="1"/>
  <c r="AJ17" i="1" a="1"/>
  <c r="AJ108" i="1" a="1"/>
  <c r="AJ235" i="1" a="1"/>
  <c r="AJ41" i="1" a="1"/>
  <c r="AJ158" i="1" a="1"/>
  <c r="AJ91" i="1" a="1"/>
  <c r="AJ10" i="1" a="1"/>
  <c r="AJ255" i="1" a="1"/>
  <c r="AJ228" i="1" a="1"/>
  <c r="AJ254" i="1" a="1"/>
  <c r="AJ84" i="1" a="1"/>
  <c r="AJ221" i="1" a="1"/>
  <c r="AJ153" i="1" a="1"/>
  <c r="AJ86" i="1" a="1"/>
  <c r="AJ20" i="1" a="1"/>
  <c r="AJ125" i="1" a="1"/>
  <c r="AJ211" i="1" a="1"/>
  <c r="AJ273" i="1" a="1"/>
  <c r="AJ81" i="1" a="1"/>
  <c r="AJ73" i="1" a="1"/>
  <c r="AJ244" i="1" a="1"/>
  <c r="AJ190" i="1" a="1"/>
  <c r="AJ95" i="1" a="1"/>
  <c r="AJ3" i="1" a="1"/>
  <c r="AJ98" i="1" a="1"/>
  <c r="AJ166" i="1" a="1"/>
  <c r="AJ239" i="1" a="1"/>
  <c r="AJ9" i="1" a="1"/>
  <c r="AJ241" i="1" a="1"/>
  <c r="AJ143" i="1" a="1"/>
  <c r="AJ49" i="1" a="1"/>
  <c r="AJ284" i="1" a="1"/>
  <c r="AJ270" i="1" a="1"/>
  <c r="AJ148" i="1" a="1"/>
  <c r="AJ169" i="1" a="1"/>
  <c r="AJ215" i="1" a="1"/>
  <c r="AJ275" i="1" a="1"/>
  <c r="AJ281" i="1" a="1"/>
  <c r="AJ89" i="1" a="1"/>
  <c r="AJ19" i="1" a="1"/>
  <c r="AJ187" i="1" a="1"/>
  <c r="AJ248" i="1" a="1"/>
  <c r="AJ92" i="1" a="1"/>
  <c r="AJ23" i="1" a="1"/>
  <c r="AJ136" i="1" a="1"/>
  <c r="AJ53" i="1" a="1"/>
  <c r="AJ205" i="1" a="1"/>
  <c r="AJ15" i="1" a="1"/>
  <c r="AJ128" i="1" a="1"/>
  <c r="AJ47" i="1" a="1"/>
  <c r="AJ193" i="1" a="1"/>
  <c r="AJ267" i="1" a="1"/>
  <c r="AJ146" i="1" a="1"/>
  <c r="AJ123" i="1" a="1"/>
  <c r="AJ56" i="1" a="1"/>
  <c r="AJ286" i="1" a="1"/>
  <c r="AJ192" i="1" a="1"/>
  <c r="AJ253" i="1" a="1"/>
  <c r="AJ118" i="1" a="1"/>
  <c r="AJ51" i="1" a="1"/>
  <c r="AJ157" i="1" a="1"/>
  <c r="AJ269" i="1" a="1"/>
  <c r="AJ130" i="1" a="1"/>
  <c r="AJ106" i="1" a="1"/>
  <c r="AJ216" i="1" a="1"/>
  <c r="AJ170" i="1" a="1"/>
  <c r="AJ104" i="1" a="1"/>
  <c r="AJ30" i="1" a="1"/>
  <c r="AJ223" i="1" a="1"/>
  <c r="AJ237" i="1" a="1"/>
  <c r="AJ176" i="1" a="1"/>
  <c r="AJ102" i="1" a="1"/>
  <c r="AJ34" i="1" a="1"/>
  <c r="AJ141" i="1" a="1"/>
  <c r="AJ262" i="1" a="1"/>
  <c r="AJ116" i="1" a="1"/>
  <c r="AJ229" i="1" a="1"/>
  <c r="AJ168" i="1" a="1"/>
  <c r="AJ94" i="1" a="1"/>
  <c r="AJ28" i="1" a="1"/>
  <c r="AJ133" i="1" a="1"/>
  <c r="AJ90" i="1" a="1"/>
  <c r="AJ195" i="1" a="1"/>
  <c r="AJ256" i="1" a="1"/>
  <c r="AJ124" i="1" a="1"/>
  <c r="AJ31" i="1" a="1"/>
  <c r="AJ144" i="1" a="1"/>
  <c r="AJ61" i="1" a="1"/>
  <c r="AJ226" i="1" a="1"/>
  <c r="AJ209" i="1" a="1"/>
  <c r="AJ182" i="1" a="1"/>
  <c r="AJ111" i="1" a="1"/>
  <c r="AJ18" i="1" a="1"/>
  <c r="AJ218" i="1" a="1"/>
  <c r="AJ103" i="1" a="1"/>
  <c r="AJ11" i="1" a="1"/>
  <c r="AJ276" i="1" a="1"/>
  <c r="AJ199" i="1" a="1"/>
  <c r="AJ247" i="1" a="1"/>
  <c r="AJ16" i="1" a="1"/>
  <c r="AJ238" i="1" a="1"/>
  <c r="AJ121" i="1" a="1"/>
  <c r="AJ201" i="1" a="1"/>
  <c r="AJ159" i="1" a="1"/>
  <c r="AJ171" i="1" a="1"/>
  <c r="AJ79" i="1" a="1"/>
  <c r="AJ236" i="1" a="1"/>
  <c r="AJ250" i="1" a="1"/>
  <c r="AJ68" i="1" a="1"/>
  <c r="AJ206" i="1" a="1"/>
  <c r="AJ272" i="1" a="1"/>
  <c r="AJ174" i="1" a="1"/>
  <c r="AJ105" i="1" a="1"/>
  <c r="AJ252" i="1" a="1"/>
  <c r="AJ97" i="1" a="1"/>
  <c r="AJ191" i="1" a="1"/>
  <c r="AJ217" i="1" a="1"/>
  <c r="AJ119" i="1" a="1"/>
  <c r="AJ26" i="1" a="1"/>
  <c r="AJ268" i="1" a="1"/>
  <c r="AJ283" i="1" a="1"/>
  <c r="AJ139" i="1" a="1"/>
  <c r="AJ72" i="1" a="1"/>
  <c r="AJ131" i="1" a="1"/>
  <c r="AJ64" i="1" a="1"/>
  <c r="AJ6" i="1" a="1"/>
  <c r="AJ200" i="1" a="1"/>
  <c r="AJ261" i="1" a="1"/>
  <c r="AJ126" i="1" a="1"/>
  <c r="AJ59" i="1" a="1"/>
  <c r="AJ164" i="1" a="1"/>
  <c r="AJ234" i="1" a="1"/>
  <c r="AJ132" i="1" a="1"/>
  <c r="AJ222" i="1" a="1"/>
  <c r="AJ288" i="1" a="1"/>
  <c r="AJ194" i="1" a="1"/>
  <c r="AJ54" i="1" a="1"/>
  <c r="AJ175" i="1" a="1"/>
  <c r="AJ93" i="1" a="1"/>
  <c r="AJ251" i="1" a="1"/>
  <c r="AJ82" i="1" a="1"/>
  <c r="AJ173" i="1" a="1"/>
  <c r="AJ107" i="1" a="1"/>
  <c r="AJ25" i="1" a="1"/>
  <c r="AJ45" i="1" a="1"/>
  <c r="AJ160" i="1" a="1"/>
  <c r="AJ77" i="1" a="1"/>
  <c r="AJ29" i="1" a="1"/>
  <c r="AJ203" i="1" a="1"/>
  <c r="AJ264" i="1" a="1"/>
  <c r="AJ154" i="1" a="1"/>
  <c r="AJ37" i="1" a="1"/>
  <c r="AJ152" i="1" a="1"/>
  <c r="AJ69" i="1" a="1"/>
  <c r="AJ122" i="1" a="1"/>
  <c r="AJ4" i="1" a="1"/>
  <c r="AJ189" i="1" a="1"/>
  <c r="AJ147" i="1" a="1"/>
  <c r="AJ80" i="1" a="1"/>
  <c r="AJ7" i="1" a="1"/>
  <c r="AJ242" i="1" a="1"/>
  <c r="AJ263" i="1" a="1"/>
  <c r="AJ38" i="1" a="1"/>
  <c r="AJ35" i="1" a="1"/>
  <c r="AJ24" i="1" a="1"/>
  <c r="AJ27" i="1" a="1"/>
  <c r="AJ129" i="1" a="1"/>
  <c r="AJ240" i="1" a="1"/>
  <c r="AJ249" i="1" a="1"/>
  <c r="AJ151" i="1" a="1"/>
  <c r="AJ57" i="1" a="1"/>
  <c r="AJ58" i="1" a="1"/>
  <c r="AJ231" i="1" a="1"/>
  <c r="AJ258" i="1" a="1"/>
  <c r="AJ74" i="1" a="1"/>
  <c r="AJ208" i="1" a="1"/>
  <c r="AJ135" i="1" a="1"/>
  <c r="AJ40" i="1" a="1"/>
  <c r="AJ225" i="1" a="1"/>
  <c r="AJ127" i="1" a="1"/>
  <c r="AJ32" i="1" a="1"/>
  <c r="AJ271" i="1" a="1"/>
  <c r="AJ55" i="1" a="1"/>
  <c r="AJ46" i="1" a="1"/>
  <c r="AJ219" i="1" a="1"/>
  <c r="AJ277" i="1" a="1"/>
  <c r="AJ142" i="1" a="1"/>
  <c r="AJ75" i="1" a="1"/>
  <c r="AJ180" i="1" a="1"/>
  <c r="AJ134" i="1" a="1"/>
  <c r="AJ67" i="1" a="1"/>
  <c r="AJ172" i="1" a="1"/>
  <c r="AJ198" i="1" a="1"/>
  <c r="AJ185" i="1" a="1"/>
  <c r="AJ230" i="1" a="1"/>
  <c r="AJ13" i="1" a="1"/>
  <c r="AJ202" i="1" a="1"/>
  <c r="AJ62" i="1" a="1"/>
  <c r="AJ183" i="1" a="1"/>
  <c r="AJ101" i="1" a="1"/>
  <c r="AJ212" i="1" a="1"/>
  <c r="AJ138" i="1" a="1"/>
  <c r="AJ224" i="1" a="1"/>
  <c r="AJ178" i="1" a="1"/>
  <c r="AJ112" i="1" a="1"/>
  <c r="AJ36" i="1" a="1"/>
  <c r="AJ278" i="1" a="1"/>
  <c r="AJ161" i="1" a="1"/>
  <c r="AJ245" i="1" a="1"/>
  <c r="AJ184" i="1" a="1"/>
  <c r="AJ110" i="1" a="1"/>
  <c r="AJ42" i="1" a="1"/>
  <c r="AJ149" i="1" a="1"/>
  <c r="AJ60" i="1" a="1"/>
  <c r="AJ233" i="1" a="1"/>
  <c r="AJ162" i="1" a="1"/>
  <c r="AJ96" i="1" a="1"/>
  <c r="AJ22" i="1" a="1"/>
  <c r="AJ210" i="1" a="1"/>
  <c r="AJ33" i="1" a="1"/>
  <c r="AJ197" i="1" a="1"/>
  <c r="AJ155" i="1" a="1"/>
  <c r="AJ88" i="1" a="1"/>
  <c r="AJ14" i="1" a="1"/>
  <c r="AJ274" i="1" a="1"/>
  <c r="AJ76" i="1" a="1"/>
  <c r="AJ227" i="1" a="1"/>
  <c r="AJ285" i="1" a="1"/>
  <c r="AJ150" i="1" a="1"/>
  <c r="AJ83" i="1" a="1"/>
  <c r="AJ2" i="1" a="1"/>
  <c r="AK2" i="1" l="1"/>
  <c r="AL2" i="1"/>
  <c r="AM2" i="1"/>
  <c r="AJ2" i="1"/>
  <c r="AK83" i="1"/>
  <c r="AL83" i="1"/>
  <c r="AM83" i="1"/>
  <c r="AJ83" i="1"/>
  <c r="AJ150" i="1"/>
  <c r="AK150" i="1"/>
  <c r="AM150" i="1"/>
  <c r="AL150" i="1"/>
  <c r="AM285" i="1"/>
  <c r="AJ285" i="1"/>
  <c r="AK285" i="1"/>
  <c r="AL285" i="1"/>
  <c r="AL227" i="1"/>
  <c r="AK227" i="1"/>
  <c r="AM227" i="1"/>
  <c r="AJ227" i="1"/>
  <c r="AK76" i="1"/>
  <c r="AL76" i="1"/>
  <c r="AM76" i="1"/>
  <c r="AJ76" i="1"/>
  <c r="AM274" i="1"/>
  <c r="AK274" i="1"/>
  <c r="AL274" i="1"/>
  <c r="AJ274" i="1"/>
  <c r="AJ14" i="1"/>
  <c r="AK14" i="1"/>
  <c r="AL14" i="1"/>
  <c r="AM14" i="1"/>
  <c r="AK88" i="1"/>
  <c r="AL88" i="1"/>
  <c r="AJ88" i="1"/>
  <c r="AM88" i="1"/>
  <c r="AJ155" i="1"/>
  <c r="AL155" i="1"/>
  <c r="AM155" i="1"/>
  <c r="AK155" i="1"/>
  <c r="AL197" i="1"/>
  <c r="AK197" i="1"/>
  <c r="AM197" i="1"/>
  <c r="AJ197" i="1"/>
  <c r="AJ33" i="1"/>
  <c r="AK33" i="1"/>
  <c r="AL33" i="1"/>
  <c r="AM33" i="1"/>
  <c r="AM210" i="1"/>
  <c r="AJ210" i="1"/>
  <c r="AK210" i="1"/>
  <c r="AL210" i="1"/>
  <c r="AJ22" i="1"/>
  <c r="AK22" i="1"/>
  <c r="AL22" i="1"/>
  <c r="AM22" i="1"/>
  <c r="AK96" i="1"/>
  <c r="AL96" i="1"/>
  <c r="AM96" i="1"/>
  <c r="AJ96" i="1"/>
  <c r="AK162" i="1"/>
  <c r="AJ162" i="1"/>
  <c r="AM162" i="1"/>
  <c r="AL162" i="1"/>
  <c r="AJ233" i="1"/>
  <c r="AK233" i="1"/>
  <c r="AM233" i="1"/>
  <c r="AL233" i="1"/>
  <c r="AJ60" i="1"/>
  <c r="AK60" i="1"/>
  <c r="AL60" i="1"/>
  <c r="AM60" i="1"/>
  <c r="AM149" i="1"/>
  <c r="AJ149" i="1"/>
  <c r="AK149" i="1"/>
  <c r="AL149" i="1"/>
  <c r="AK42" i="1"/>
  <c r="AL42" i="1"/>
  <c r="AM42" i="1"/>
  <c r="AJ42" i="1"/>
  <c r="AJ110" i="1"/>
  <c r="AK110" i="1"/>
  <c r="AM110" i="1"/>
  <c r="AL110" i="1"/>
  <c r="AM184" i="1"/>
  <c r="AK184" i="1"/>
  <c r="AL184" i="1"/>
  <c r="AJ184" i="1"/>
  <c r="AM245" i="1"/>
  <c r="AK245" i="1"/>
  <c r="AL245" i="1"/>
  <c r="AJ245" i="1"/>
  <c r="AL161" i="1"/>
  <c r="AM161" i="1"/>
  <c r="AJ161" i="1"/>
  <c r="AK161" i="1"/>
  <c r="AL278" i="1"/>
  <c r="AM278" i="1"/>
  <c r="AJ278" i="1"/>
  <c r="AK278" i="1"/>
  <c r="AJ36" i="1"/>
  <c r="AK36" i="1"/>
  <c r="AL36" i="1"/>
  <c r="AM36" i="1"/>
  <c r="AK112" i="1"/>
  <c r="AL112" i="1"/>
  <c r="AJ112" i="1"/>
  <c r="AM112" i="1"/>
  <c r="AM178" i="1"/>
  <c r="AJ178" i="1"/>
  <c r="AK178" i="1"/>
  <c r="AL178" i="1"/>
  <c r="AK224" i="1"/>
  <c r="AJ224" i="1"/>
  <c r="AM224" i="1"/>
  <c r="AL224" i="1"/>
  <c r="AK138" i="1"/>
  <c r="AM138" i="1"/>
  <c r="AJ138" i="1"/>
  <c r="AL138" i="1"/>
  <c r="AK212" i="1"/>
  <c r="AL212" i="1"/>
  <c r="AJ212" i="1"/>
  <c r="AM212" i="1"/>
  <c r="AJ101" i="1"/>
  <c r="AK101" i="1"/>
  <c r="AL101" i="1"/>
  <c r="AM101" i="1"/>
  <c r="AL183" i="1"/>
  <c r="AM183" i="1"/>
  <c r="AJ183" i="1"/>
  <c r="AK183" i="1"/>
  <c r="AL62" i="1"/>
  <c r="AM62" i="1"/>
  <c r="AJ62" i="1"/>
  <c r="AK62" i="1"/>
  <c r="AL202" i="1"/>
  <c r="AJ202" i="1"/>
  <c r="AM202" i="1"/>
  <c r="AK202" i="1"/>
  <c r="AJ13" i="1"/>
  <c r="AL13" i="1"/>
  <c r="AK13" i="1"/>
  <c r="AM13" i="1"/>
  <c r="AL230" i="1"/>
  <c r="AM230" i="1"/>
  <c r="AJ230" i="1"/>
  <c r="AK230" i="1"/>
  <c r="AL185" i="1"/>
  <c r="AK185" i="1"/>
  <c r="AJ185" i="1"/>
  <c r="AM185" i="1"/>
  <c r="AJ198" i="1"/>
  <c r="AK198" i="1"/>
  <c r="AL198" i="1"/>
  <c r="AM198" i="1"/>
  <c r="AK172" i="1"/>
  <c r="AL172" i="1"/>
  <c r="AM172" i="1"/>
  <c r="AJ172" i="1"/>
  <c r="AK67" i="1"/>
  <c r="AL67" i="1"/>
  <c r="AM67" i="1"/>
  <c r="AJ67" i="1"/>
  <c r="AJ134" i="1"/>
  <c r="AK134" i="1"/>
  <c r="AM134" i="1"/>
  <c r="AL134" i="1"/>
  <c r="AL180" i="1"/>
  <c r="AJ180" i="1"/>
  <c r="AK180" i="1"/>
  <c r="AM180" i="1"/>
  <c r="AJ75" i="1"/>
  <c r="AK75" i="1"/>
  <c r="AL75" i="1"/>
  <c r="AM75" i="1"/>
  <c r="AL142" i="1"/>
  <c r="AM142" i="1"/>
  <c r="AJ142" i="1"/>
  <c r="AK142" i="1"/>
  <c r="AJ277" i="1"/>
  <c r="AK277" i="1"/>
  <c r="AL277" i="1"/>
  <c r="AM277" i="1"/>
  <c r="AK219" i="1"/>
  <c r="AJ219" i="1"/>
  <c r="AM219" i="1"/>
  <c r="AL219" i="1"/>
  <c r="AK46" i="1"/>
  <c r="AL46" i="1"/>
  <c r="AJ46" i="1"/>
  <c r="AM46" i="1"/>
  <c r="AJ55" i="1"/>
  <c r="AK55" i="1"/>
  <c r="AL55" i="1"/>
  <c r="AM55" i="1"/>
  <c r="AL271" i="1"/>
  <c r="AJ271" i="1"/>
  <c r="AK271" i="1"/>
  <c r="AM271" i="1"/>
  <c r="AM32" i="1"/>
  <c r="AK32" i="1"/>
  <c r="AL32" i="1"/>
  <c r="AJ32" i="1"/>
  <c r="AK127" i="1"/>
  <c r="AL127" i="1"/>
  <c r="AM127" i="1"/>
  <c r="AJ127" i="1"/>
  <c r="AJ225" i="1"/>
  <c r="AL225" i="1"/>
  <c r="AM225" i="1"/>
  <c r="AK225" i="1"/>
  <c r="AL40" i="1"/>
  <c r="AJ40" i="1"/>
  <c r="AM40" i="1"/>
  <c r="AK40" i="1"/>
  <c r="AL135" i="1"/>
  <c r="AJ135" i="1"/>
  <c r="AK135" i="1"/>
  <c r="AM135" i="1"/>
  <c r="AK208" i="1"/>
  <c r="AJ208" i="1"/>
  <c r="AL208" i="1"/>
  <c r="AM208" i="1"/>
  <c r="AJ74" i="1"/>
  <c r="AK74" i="1"/>
  <c r="AL74" i="1"/>
  <c r="AM74" i="1"/>
  <c r="AJ258" i="1"/>
  <c r="AK258" i="1"/>
  <c r="AL258" i="1"/>
  <c r="AM258" i="1"/>
  <c r="AL231" i="1"/>
  <c r="AJ231" i="1"/>
  <c r="AM231" i="1"/>
  <c r="AK231" i="1"/>
  <c r="AJ58" i="1"/>
  <c r="AL58" i="1"/>
  <c r="AM58" i="1"/>
  <c r="AK58" i="1"/>
  <c r="AM57" i="1"/>
  <c r="AK57" i="1"/>
  <c r="AL57" i="1"/>
  <c r="AJ57" i="1"/>
  <c r="AL151" i="1"/>
  <c r="AM151" i="1"/>
  <c r="AJ151" i="1"/>
  <c r="AK151" i="1"/>
  <c r="AJ249" i="1"/>
  <c r="AL249" i="1"/>
  <c r="AM249" i="1"/>
  <c r="AK249" i="1"/>
  <c r="AJ240" i="1"/>
  <c r="AK240" i="1"/>
  <c r="AL240" i="1"/>
  <c r="AM240" i="1"/>
  <c r="AM129" i="1"/>
  <c r="AJ129" i="1"/>
  <c r="AK129" i="1"/>
  <c r="AL129" i="1"/>
  <c r="AJ27" i="1"/>
  <c r="AK27" i="1"/>
  <c r="AL27" i="1"/>
  <c r="AM27" i="1"/>
  <c r="AJ24" i="1"/>
  <c r="AK24" i="1"/>
  <c r="AL24" i="1"/>
  <c r="AM24" i="1"/>
  <c r="AJ35" i="1"/>
  <c r="AM35" i="1"/>
  <c r="AK35" i="1"/>
  <c r="AL35" i="1"/>
  <c r="AM38" i="1"/>
  <c r="AL38" i="1"/>
  <c r="AK38" i="1"/>
  <c r="AJ38" i="1"/>
  <c r="AJ263" i="1"/>
  <c r="AK263" i="1"/>
  <c r="AM263" i="1"/>
  <c r="AL263" i="1"/>
  <c r="AK242" i="1"/>
  <c r="AL242" i="1"/>
  <c r="AM242" i="1"/>
  <c r="AJ242" i="1"/>
  <c r="AJ7" i="1"/>
  <c r="AK7" i="1"/>
  <c r="AL7" i="1"/>
  <c r="AM7" i="1"/>
  <c r="AJ80" i="1"/>
  <c r="AK80" i="1"/>
  <c r="AL80" i="1"/>
  <c r="AM80" i="1"/>
  <c r="AJ147" i="1"/>
  <c r="AL147" i="1"/>
  <c r="AM147" i="1"/>
  <c r="AK147" i="1"/>
  <c r="AK189" i="1"/>
  <c r="AM189" i="1"/>
  <c r="AL189" i="1"/>
  <c r="AJ189" i="1"/>
  <c r="AJ4" i="1"/>
  <c r="AK4" i="1"/>
  <c r="AL4" i="1"/>
  <c r="AM4" i="1"/>
  <c r="AL122" i="1"/>
  <c r="AM122" i="1"/>
  <c r="AJ122" i="1"/>
  <c r="AK122" i="1"/>
  <c r="AJ69" i="1"/>
  <c r="AL69" i="1"/>
  <c r="AM69" i="1"/>
  <c r="AK69" i="1"/>
  <c r="AK152" i="1"/>
  <c r="AL152" i="1"/>
  <c r="AJ152" i="1"/>
  <c r="AM152" i="1"/>
  <c r="AJ37" i="1"/>
  <c r="AM37" i="1"/>
  <c r="AK37" i="1"/>
  <c r="AL37" i="1"/>
  <c r="AL154" i="1"/>
  <c r="AM154" i="1"/>
  <c r="AJ154" i="1"/>
  <c r="AK154" i="1"/>
  <c r="AK264" i="1"/>
  <c r="AM264" i="1"/>
  <c r="AL264" i="1"/>
  <c r="AJ264" i="1"/>
  <c r="AM203" i="1"/>
  <c r="AJ203" i="1"/>
  <c r="AL203" i="1"/>
  <c r="AK203" i="1"/>
  <c r="AJ29" i="1"/>
  <c r="AK29" i="1"/>
  <c r="AL29" i="1"/>
  <c r="AM29" i="1"/>
  <c r="AJ77" i="1"/>
  <c r="AK77" i="1"/>
  <c r="AL77" i="1"/>
  <c r="AM77" i="1"/>
  <c r="AK160" i="1"/>
  <c r="AL160" i="1"/>
  <c r="AM160" i="1"/>
  <c r="AJ160" i="1"/>
  <c r="AL45" i="1"/>
  <c r="AM45" i="1"/>
  <c r="AJ45" i="1"/>
  <c r="AK45" i="1"/>
  <c r="AJ25" i="1"/>
  <c r="AK25" i="1"/>
  <c r="AL25" i="1"/>
  <c r="AM25" i="1"/>
  <c r="AK107" i="1"/>
  <c r="AL107" i="1"/>
  <c r="AJ107" i="1"/>
  <c r="AM107" i="1"/>
  <c r="AJ173" i="1"/>
  <c r="AK173" i="1"/>
  <c r="AL173" i="1"/>
  <c r="AM173" i="1"/>
  <c r="AJ82" i="1"/>
  <c r="AK82" i="1"/>
  <c r="AM82" i="1"/>
  <c r="AL82" i="1"/>
  <c r="AK251" i="1"/>
  <c r="AL251" i="1"/>
  <c r="AM251" i="1"/>
  <c r="AJ251" i="1"/>
  <c r="AJ93" i="1"/>
  <c r="AK93" i="1"/>
  <c r="AL93" i="1"/>
  <c r="AM93" i="1"/>
  <c r="AM175" i="1"/>
  <c r="AJ175" i="1"/>
  <c r="AK175" i="1"/>
  <c r="AL175" i="1"/>
  <c r="AL54" i="1"/>
  <c r="AM54" i="1"/>
  <c r="AJ54" i="1"/>
  <c r="AK54" i="1"/>
  <c r="AK194" i="1"/>
  <c r="AL194" i="1"/>
  <c r="AM194" i="1"/>
  <c r="AJ194" i="1"/>
  <c r="AJ288" i="1"/>
  <c r="AK288" i="1"/>
  <c r="AL288" i="1"/>
  <c r="AM288" i="1"/>
  <c r="AM222" i="1"/>
  <c r="AJ222" i="1"/>
  <c r="AL222" i="1"/>
  <c r="AK222" i="1"/>
  <c r="AK132" i="1"/>
  <c r="AL132" i="1"/>
  <c r="AM132" i="1"/>
  <c r="AJ132" i="1"/>
  <c r="AJ234" i="1"/>
  <c r="AM234" i="1"/>
  <c r="AK234" i="1"/>
  <c r="AL234" i="1"/>
  <c r="AM164" i="1"/>
  <c r="AJ164" i="1"/>
  <c r="AK164" i="1"/>
  <c r="AL164" i="1"/>
  <c r="AJ59" i="1"/>
  <c r="AK59" i="1"/>
  <c r="AL59" i="1"/>
  <c r="AM59" i="1"/>
  <c r="AJ126" i="1"/>
  <c r="AK126" i="1"/>
  <c r="AM126" i="1"/>
  <c r="AL126" i="1"/>
  <c r="AJ261" i="1"/>
  <c r="AK261" i="1"/>
  <c r="AL261" i="1"/>
  <c r="AM261" i="1"/>
  <c r="AL200" i="1"/>
  <c r="AJ200" i="1"/>
  <c r="AK200" i="1"/>
  <c r="AM200" i="1"/>
  <c r="AJ6" i="1"/>
  <c r="AL6" i="1"/>
  <c r="AK6" i="1"/>
  <c r="AM6" i="1"/>
  <c r="AJ64" i="1"/>
  <c r="AK64" i="1"/>
  <c r="AL64" i="1"/>
  <c r="AM64" i="1"/>
  <c r="AJ131" i="1"/>
  <c r="AT131" i="1" s="1"/>
  <c r="AL131" i="1"/>
  <c r="AV131" i="1" s="1"/>
  <c r="AM131" i="1"/>
  <c r="AW131" i="1" s="1"/>
  <c r="AK131" i="1"/>
  <c r="AU131" i="1" s="1"/>
  <c r="AJ72" i="1"/>
  <c r="AL72" i="1"/>
  <c r="AM72" i="1"/>
  <c r="AK72" i="1"/>
  <c r="AJ139" i="1"/>
  <c r="AL139" i="1"/>
  <c r="AM139" i="1"/>
  <c r="AK139" i="1"/>
  <c r="AK283" i="1"/>
  <c r="AL283" i="1"/>
  <c r="AM283" i="1"/>
  <c r="AJ283" i="1"/>
  <c r="AJ268" i="1"/>
  <c r="AL268" i="1"/>
  <c r="AK268" i="1"/>
  <c r="AM268" i="1"/>
  <c r="AM26" i="1"/>
  <c r="AL26" i="1"/>
  <c r="AJ26" i="1"/>
  <c r="AK26" i="1"/>
  <c r="AL119" i="1"/>
  <c r="AM119" i="1"/>
  <c r="AJ119" i="1"/>
  <c r="AK119" i="1"/>
  <c r="AL217" i="1"/>
  <c r="AJ217" i="1"/>
  <c r="AK217" i="1"/>
  <c r="AM217" i="1"/>
  <c r="AM191" i="1"/>
  <c r="AK191" i="1"/>
  <c r="AL191" i="1"/>
  <c r="AJ191" i="1"/>
  <c r="AM97" i="1"/>
  <c r="AJ97" i="1"/>
  <c r="AK97" i="1"/>
  <c r="AL97" i="1"/>
  <c r="AJ252" i="1"/>
  <c r="AL252" i="1"/>
  <c r="AK252" i="1"/>
  <c r="AM252" i="1"/>
  <c r="AJ105" i="1"/>
  <c r="AL105" i="1"/>
  <c r="AM105" i="1"/>
  <c r="AK105" i="1"/>
  <c r="AJ174" i="1"/>
  <c r="AK174" i="1"/>
  <c r="AL174" i="1"/>
  <c r="AM174" i="1"/>
  <c r="AL272" i="1"/>
  <c r="AK272" i="1"/>
  <c r="AJ272" i="1"/>
  <c r="AM272" i="1"/>
  <c r="AL206" i="1"/>
  <c r="AM206" i="1"/>
  <c r="AJ206" i="1"/>
  <c r="AK206" i="1"/>
  <c r="AJ68" i="1"/>
  <c r="AK68" i="1"/>
  <c r="AL68" i="1"/>
  <c r="AM68" i="1"/>
  <c r="AM250" i="1"/>
  <c r="AK250" i="1"/>
  <c r="AL250" i="1"/>
  <c r="AJ250" i="1"/>
  <c r="AK236" i="1"/>
  <c r="AL236" i="1"/>
  <c r="AM236" i="1"/>
  <c r="AJ236" i="1"/>
  <c r="AJ79" i="1"/>
  <c r="AM79" i="1"/>
  <c r="AK79" i="1"/>
  <c r="AL79" i="1"/>
  <c r="AM171" i="1"/>
  <c r="AK171" i="1"/>
  <c r="AJ171" i="1"/>
  <c r="AL171" i="1"/>
  <c r="AK159" i="1"/>
  <c r="AL159" i="1"/>
  <c r="AM159" i="1"/>
  <c r="AJ159" i="1"/>
  <c r="AM201" i="1"/>
  <c r="AK201" i="1"/>
  <c r="AL201" i="1"/>
  <c r="AJ201" i="1"/>
  <c r="AM121" i="1"/>
  <c r="AJ121" i="1"/>
  <c r="AK121" i="1"/>
  <c r="AL121" i="1"/>
  <c r="AM238" i="1"/>
  <c r="AJ238" i="1"/>
  <c r="AK238" i="1"/>
  <c r="AL238" i="1"/>
  <c r="AJ16" i="1"/>
  <c r="AK16" i="1"/>
  <c r="AM16" i="1"/>
  <c r="AL16" i="1"/>
  <c r="AK247" i="1"/>
  <c r="AM247" i="1"/>
  <c r="AL247" i="1"/>
  <c r="AJ247" i="1"/>
  <c r="AL199" i="1"/>
  <c r="AM199" i="1"/>
  <c r="AK199" i="1"/>
  <c r="AJ199" i="1"/>
  <c r="AK276" i="1"/>
  <c r="AM276" i="1"/>
  <c r="AL276" i="1"/>
  <c r="AJ276" i="1"/>
  <c r="AM11" i="1"/>
  <c r="AJ11" i="1"/>
  <c r="AL11" i="1"/>
  <c r="AK11" i="1"/>
  <c r="AM103" i="1"/>
  <c r="AJ103" i="1"/>
  <c r="AK103" i="1"/>
  <c r="AL103" i="1"/>
  <c r="AL218" i="1"/>
  <c r="AM218" i="1"/>
  <c r="AK218" i="1"/>
  <c r="AJ218" i="1"/>
  <c r="AM18" i="1"/>
  <c r="AK18" i="1"/>
  <c r="AJ18" i="1"/>
  <c r="AL18" i="1"/>
  <c r="AJ111" i="1"/>
  <c r="AK111" i="1"/>
  <c r="AL111" i="1"/>
  <c r="AM111" i="1"/>
  <c r="AJ182" i="1"/>
  <c r="AM182" i="1"/>
  <c r="AL182" i="1"/>
  <c r="AK182" i="1"/>
  <c r="AJ209" i="1"/>
  <c r="AM209" i="1"/>
  <c r="AK209" i="1"/>
  <c r="AL209" i="1"/>
  <c r="AM226" i="1"/>
  <c r="AK226" i="1"/>
  <c r="AL226" i="1"/>
  <c r="AJ226" i="1"/>
  <c r="AJ61" i="1"/>
  <c r="AK61" i="1"/>
  <c r="AL61" i="1"/>
  <c r="AM61" i="1"/>
  <c r="AK144" i="1"/>
  <c r="AL144" i="1"/>
  <c r="AJ144" i="1"/>
  <c r="AM144" i="1"/>
  <c r="AK31" i="1"/>
  <c r="AL31" i="1"/>
  <c r="AM31" i="1"/>
  <c r="AJ31" i="1"/>
  <c r="AK124" i="1"/>
  <c r="AM124" i="1"/>
  <c r="AJ124" i="1"/>
  <c r="AL124" i="1"/>
  <c r="AJ256" i="1"/>
  <c r="AT256" i="1" s="1"/>
  <c r="AK256" i="1"/>
  <c r="AU256" i="1" s="1"/>
  <c r="AM256" i="1"/>
  <c r="AW256" i="1" s="1"/>
  <c r="AL256" i="1"/>
  <c r="AV256" i="1" s="1"/>
  <c r="AK195" i="1"/>
  <c r="AM195" i="1"/>
  <c r="AL195" i="1"/>
  <c r="AJ195" i="1"/>
  <c r="AM90" i="1"/>
  <c r="AJ90" i="1"/>
  <c r="AK90" i="1"/>
  <c r="AL90" i="1"/>
  <c r="AJ133" i="1"/>
  <c r="AL133" i="1"/>
  <c r="AM133" i="1"/>
  <c r="AK133" i="1"/>
  <c r="AK28" i="1"/>
  <c r="AL28" i="1"/>
  <c r="AM28" i="1"/>
  <c r="AJ28" i="1"/>
  <c r="AJ94" i="1"/>
  <c r="AK94" i="1"/>
  <c r="AM94" i="1"/>
  <c r="AL94" i="1"/>
  <c r="AM168" i="1"/>
  <c r="AK168" i="1"/>
  <c r="AL168" i="1"/>
  <c r="AJ168" i="1"/>
  <c r="AK229" i="1"/>
  <c r="AJ229" i="1"/>
  <c r="AL229" i="1"/>
  <c r="AM229" i="1"/>
  <c r="AJ116" i="1"/>
  <c r="AL116" i="1"/>
  <c r="AM116" i="1"/>
  <c r="AK116" i="1"/>
  <c r="AM262" i="1"/>
  <c r="AK262" i="1"/>
  <c r="AJ262" i="1"/>
  <c r="AL262" i="1"/>
  <c r="AM141" i="1"/>
  <c r="AJ141" i="1"/>
  <c r="AK141" i="1"/>
  <c r="AL141" i="1"/>
  <c r="AJ34" i="1"/>
  <c r="AL34" i="1"/>
  <c r="AM34" i="1"/>
  <c r="AK34" i="1"/>
  <c r="AJ102" i="1"/>
  <c r="AK102" i="1"/>
  <c r="AM102" i="1"/>
  <c r="AL102" i="1"/>
  <c r="AJ176" i="1"/>
  <c r="AK176" i="1"/>
  <c r="AL176" i="1"/>
  <c r="AM176" i="1"/>
  <c r="AJ237" i="1"/>
  <c r="AL237" i="1"/>
  <c r="AM237" i="1"/>
  <c r="AK237" i="1"/>
  <c r="AL223" i="1"/>
  <c r="AK223" i="1"/>
  <c r="AM223" i="1"/>
  <c r="AJ223" i="1"/>
  <c r="AK30" i="1"/>
  <c r="AL30" i="1"/>
  <c r="AM30" i="1"/>
  <c r="AJ30" i="1"/>
  <c r="AL104" i="1"/>
  <c r="AJ104" i="1"/>
  <c r="AM104" i="1"/>
  <c r="AK104" i="1"/>
  <c r="AJ170" i="1"/>
  <c r="AK170" i="1"/>
  <c r="AL170" i="1"/>
  <c r="AM170" i="1"/>
  <c r="AK216" i="1"/>
  <c r="AJ216" i="1"/>
  <c r="AL216" i="1"/>
  <c r="AM216" i="1"/>
  <c r="AL106" i="1"/>
  <c r="AJ106" i="1"/>
  <c r="AK106" i="1"/>
  <c r="AM106" i="1"/>
  <c r="AM130" i="1"/>
  <c r="AL130" i="1"/>
  <c r="AK130" i="1"/>
  <c r="AJ130" i="1"/>
  <c r="AJ269" i="1"/>
  <c r="AK269" i="1"/>
  <c r="AL269" i="1"/>
  <c r="AM269" i="1"/>
  <c r="AM157" i="1"/>
  <c r="AJ157" i="1"/>
  <c r="AK157" i="1"/>
  <c r="AL157" i="1"/>
  <c r="AK51" i="1"/>
  <c r="AL51" i="1"/>
  <c r="AM51" i="1"/>
  <c r="AJ51" i="1"/>
  <c r="AJ118" i="1"/>
  <c r="AK118" i="1"/>
  <c r="AM118" i="1"/>
  <c r="AL118" i="1"/>
  <c r="AM253" i="1"/>
  <c r="AJ253" i="1"/>
  <c r="AK253" i="1"/>
  <c r="AL253" i="1"/>
  <c r="AL192" i="1"/>
  <c r="AJ192" i="1"/>
  <c r="AK192" i="1"/>
  <c r="AM192" i="1"/>
  <c r="AL286" i="1"/>
  <c r="AM286" i="1"/>
  <c r="AJ286" i="1"/>
  <c r="AK286" i="1"/>
  <c r="AJ56" i="1"/>
  <c r="AK56" i="1"/>
  <c r="AL56" i="1"/>
  <c r="AM56" i="1"/>
  <c r="AJ123" i="1"/>
  <c r="AL123" i="1"/>
  <c r="AM123" i="1"/>
  <c r="AK123" i="1"/>
  <c r="AJ146" i="1"/>
  <c r="AK146" i="1"/>
  <c r="AL146" i="1"/>
  <c r="AM146" i="1"/>
  <c r="AL267" i="1"/>
  <c r="AM267" i="1"/>
  <c r="AJ267" i="1"/>
  <c r="AK267" i="1"/>
  <c r="AK193" i="1"/>
  <c r="AM193" i="1"/>
  <c r="AJ193" i="1"/>
  <c r="AL193" i="1"/>
  <c r="AJ47" i="1"/>
  <c r="AK47" i="1"/>
  <c r="AL47" i="1"/>
  <c r="AM47" i="1"/>
  <c r="AK128" i="1"/>
  <c r="AL128" i="1"/>
  <c r="AJ128" i="1"/>
  <c r="AM128" i="1"/>
  <c r="AL15" i="1"/>
  <c r="AM15" i="1"/>
  <c r="AJ15" i="1"/>
  <c r="AK15" i="1"/>
  <c r="AJ205" i="1"/>
  <c r="AL205" i="1"/>
  <c r="AM205" i="1"/>
  <c r="AK205" i="1"/>
  <c r="AJ53" i="1"/>
  <c r="AK53" i="1"/>
  <c r="AL53" i="1"/>
  <c r="AM53" i="1"/>
  <c r="AK136" i="1"/>
  <c r="AJ136" i="1"/>
  <c r="AM136" i="1"/>
  <c r="AL136" i="1"/>
  <c r="AL23" i="1"/>
  <c r="AM23" i="1"/>
  <c r="AJ23" i="1"/>
  <c r="AK23" i="1"/>
  <c r="AK92" i="1"/>
  <c r="AL92" i="1"/>
  <c r="AM92" i="1"/>
  <c r="AJ92" i="1"/>
  <c r="AM248" i="1"/>
  <c r="AJ248" i="1"/>
  <c r="AK248" i="1"/>
  <c r="AL248" i="1"/>
  <c r="AJ187" i="1"/>
  <c r="AK187" i="1"/>
  <c r="AL187" i="1"/>
  <c r="AM187" i="1"/>
  <c r="AM19" i="1"/>
  <c r="AL19" i="1"/>
  <c r="AJ19" i="1"/>
  <c r="AK19" i="1"/>
  <c r="AM89" i="1"/>
  <c r="AJ89" i="1"/>
  <c r="AK89" i="1"/>
  <c r="AL89" i="1"/>
  <c r="AM281" i="1"/>
  <c r="AJ281" i="1"/>
  <c r="AL281" i="1"/>
  <c r="AK281" i="1"/>
  <c r="AM275" i="1"/>
  <c r="AK275" i="1"/>
  <c r="AJ275" i="1"/>
  <c r="AL275" i="1"/>
  <c r="AL215" i="1"/>
  <c r="AJ215" i="1"/>
  <c r="AM215" i="1"/>
  <c r="AK215" i="1"/>
  <c r="AJ169" i="1"/>
  <c r="AK169" i="1"/>
  <c r="AL169" i="1"/>
  <c r="AM169" i="1"/>
  <c r="AM148" i="1"/>
  <c r="AK148" i="1"/>
  <c r="AL148" i="1"/>
  <c r="AJ148" i="1"/>
  <c r="AL270" i="1"/>
  <c r="AJ270" i="1"/>
  <c r="AK270" i="1"/>
  <c r="AM270" i="1"/>
  <c r="AJ284" i="1"/>
  <c r="AL284" i="1"/>
  <c r="AK284" i="1"/>
  <c r="AM284" i="1"/>
  <c r="AM49" i="1"/>
  <c r="AK49" i="1"/>
  <c r="AL49" i="1"/>
  <c r="AJ49" i="1"/>
  <c r="AJ143" i="1"/>
  <c r="AL143" i="1"/>
  <c r="AM143" i="1"/>
  <c r="AK143" i="1"/>
  <c r="AL241" i="1"/>
  <c r="AK241" i="1"/>
  <c r="AJ241" i="1"/>
  <c r="AM241" i="1"/>
  <c r="AJ9" i="1"/>
  <c r="AM9" i="1"/>
  <c r="AK9" i="1"/>
  <c r="AL9" i="1"/>
  <c r="AL239" i="1"/>
  <c r="AJ239" i="1"/>
  <c r="AK239" i="1"/>
  <c r="AM239" i="1"/>
  <c r="AK166" i="1"/>
  <c r="AM166" i="1"/>
  <c r="AJ166" i="1"/>
  <c r="AL166" i="1"/>
  <c r="AM98" i="1"/>
  <c r="AJ98" i="1"/>
  <c r="AK98" i="1"/>
  <c r="AL98" i="1"/>
  <c r="AK3" i="1"/>
  <c r="AJ3" i="1"/>
  <c r="AL3" i="1"/>
  <c r="AM3" i="1"/>
  <c r="AK95" i="1"/>
  <c r="AL95" i="1"/>
  <c r="AM95" i="1"/>
  <c r="AJ95" i="1"/>
  <c r="AJ190" i="1"/>
  <c r="AK190" i="1"/>
  <c r="AM190" i="1"/>
  <c r="AL190" i="1"/>
  <c r="AM244" i="1"/>
  <c r="AL244" i="1"/>
  <c r="AK244" i="1"/>
  <c r="AJ244" i="1"/>
  <c r="AJ73" i="1"/>
  <c r="AK73" i="1"/>
  <c r="AL73" i="1"/>
  <c r="AM73" i="1"/>
  <c r="AL81" i="1"/>
  <c r="AK81" i="1"/>
  <c r="AM81" i="1"/>
  <c r="AJ81" i="1"/>
  <c r="AM273" i="1"/>
  <c r="AK273" i="1"/>
  <c r="AJ273" i="1"/>
  <c r="AL273" i="1"/>
  <c r="AL211" i="1"/>
  <c r="AK211" i="1"/>
  <c r="AJ211" i="1"/>
  <c r="AM211" i="1"/>
  <c r="AJ125" i="1"/>
  <c r="AK125" i="1"/>
  <c r="AL125" i="1"/>
  <c r="AM125" i="1"/>
  <c r="AK20" i="1"/>
  <c r="AL20" i="1"/>
  <c r="AM20" i="1"/>
  <c r="AJ20" i="1"/>
  <c r="AJ86" i="1"/>
  <c r="AK86" i="1"/>
  <c r="AM86" i="1"/>
  <c r="AL86" i="1"/>
  <c r="AJ153" i="1"/>
  <c r="AK153" i="1"/>
  <c r="AL153" i="1"/>
  <c r="AM153" i="1"/>
  <c r="AJ221" i="1"/>
  <c r="AK221" i="1"/>
  <c r="AL221" i="1"/>
  <c r="AM221" i="1"/>
  <c r="AK84" i="1"/>
  <c r="AL84" i="1"/>
  <c r="AJ84" i="1"/>
  <c r="AM84" i="1"/>
  <c r="AK254" i="1"/>
  <c r="AL254" i="1"/>
  <c r="AM254" i="1"/>
  <c r="AJ254" i="1"/>
  <c r="AK228" i="1"/>
  <c r="AJ228" i="1"/>
  <c r="AL228" i="1"/>
  <c r="AM228" i="1"/>
  <c r="AM255" i="1"/>
  <c r="AJ255" i="1"/>
  <c r="AK255" i="1"/>
  <c r="AL255" i="1"/>
  <c r="AM10" i="1"/>
  <c r="AJ10" i="1"/>
  <c r="AK10" i="1"/>
  <c r="AL10" i="1"/>
  <c r="AJ91" i="1"/>
  <c r="AL91" i="1"/>
  <c r="AM91" i="1"/>
  <c r="AK91" i="1"/>
  <c r="AJ158" i="1"/>
  <c r="AK158" i="1"/>
  <c r="AM158" i="1"/>
  <c r="AL158" i="1"/>
  <c r="AJ41" i="1"/>
  <c r="AL41" i="1"/>
  <c r="AM41" i="1"/>
  <c r="AK41" i="1"/>
  <c r="AM235" i="1"/>
  <c r="AJ235" i="1"/>
  <c r="AK235" i="1"/>
  <c r="AL235" i="1"/>
  <c r="AJ108" i="1"/>
  <c r="AK108" i="1"/>
  <c r="AL108" i="1"/>
  <c r="AM108" i="1"/>
  <c r="AM17" i="1"/>
  <c r="AJ17" i="1"/>
  <c r="AK17" i="1"/>
  <c r="AL17" i="1"/>
  <c r="AJ99" i="1"/>
  <c r="AL99" i="1"/>
  <c r="AM99" i="1"/>
  <c r="AK99" i="1"/>
  <c r="AJ165" i="1"/>
  <c r="AM165" i="1"/>
  <c r="AK165" i="1"/>
  <c r="AL165" i="1"/>
  <c r="AL287" i="1"/>
  <c r="AK287" i="1"/>
  <c r="AM287" i="1"/>
  <c r="AJ287" i="1"/>
  <c r="AJ85" i="1"/>
  <c r="AK85" i="1"/>
  <c r="AL85" i="1"/>
  <c r="AM85" i="1"/>
  <c r="AM167" i="1"/>
  <c r="AK167" i="1"/>
  <c r="AJ167" i="1"/>
  <c r="AL167" i="1"/>
  <c r="AL48" i="1"/>
  <c r="AM48" i="1"/>
  <c r="AK48" i="1"/>
  <c r="AJ48" i="1"/>
  <c r="AJ186" i="1"/>
  <c r="AL186" i="1"/>
  <c r="AK186" i="1"/>
  <c r="AM186" i="1"/>
  <c r="AJ280" i="1"/>
  <c r="AK280" i="1"/>
  <c r="AL280" i="1"/>
  <c r="AM280" i="1"/>
  <c r="AM214" i="1"/>
  <c r="AK214" i="1"/>
  <c r="AL214" i="1"/>
  <c r="AJ214" i="1"/>
  <c r="AJ100" i="1"/>
  <c r="AK100" i="1"/>
  <c r="AL100" i="1"/>
  <c r="AM100" i="1"/>
  <c r="AK188" i="1"/>
  <c r="AL188" i="1"/>
  <c r="AJ188" i="1"/>
  <c r="AM188" i="1"/>
  <c r="AM39" i="1"/>
  <c r="AJ39" i="1"/>
  <c r="AK39" i="1"/>
  <c r="AL39" i="1"/>
  <c r="AJ115" i="1"/>
  <c r="AL115" i="1"/>
  <c r="AM115" i="1"/>
  <c r="AK115" i="1"/>
  <c r="AL181" i="1"/>
  <c r="AJ181" i="1"/>
  <c r="AK181" i="1"/>
  <c r="AM181" i="1"/>
  <c r="AM114" i="1"/>
  <c r="AJ114" i="1"/>
  <c r="AK114" i="1"/>
  <c r="AL114" i="1"/>
  <c r="AJ259" i="1"/>
  <c r="AK259" i="1"/>
  <c r="AL259" i="1"/>
  <c r="AM259" i="1"/>
  <c r="AM177" i="1"/>
  <c r="AK177" i="1"/>
  <c r="AJ177" i="1"/>
  <c r="AL177" i="1"/>
  <c r="AK179" i="1"/>
  <c r="AL179" i="1"/>
  <c r="AM179" i="1"/>
  <c r="AJ179" i="1"/>
  <c r="AK220" i="1"/>
  <c r="AL220" i="1"/>
  <c r="AJ220" i="1"/>
  <c r="AM220" i="1"/>
  <c r="AJ44" i="1"/>
  <c r="AK44" i="1"/>
  <c r="AL44" i="1"/>
  <c r="AM44" i="1"/>
  <c r="AK120" i="1"/>
  <c r="AL120" i="1"/>
  <c r="AJ120" i="1"/>
  <c r="AM120" i="1"/>
  <c r="AL8" i="1"/>
  <c r="AM8" i="1"/>
  <c r="AJ8" i="1"/>
  <c r="AK8" i="1"/>
  <c r="AJ21" i="1"/>
  <c r="AK21" i="1"/>
  <c r="AL21" i="1"/>
  <c r="AM21" i="1"/>
  <c r="AM232" i="1"/>
  <c r="AJ232" i="1"/>
  <c r="AL232" i="1"/>
  <c r="AK232" i="1"/>
  <c r="AK163" i="1"/>
  <c r="AL163" i="1"/>
  <c r="AJ163" i="1"/>
  <c r="AM163" i="1"/>
  <c r="AM260" i="1"/>
  <c r="AJ260" i="1"/>
  <c r="AL260" i="1"/>
  <c r="AK260" i="1"/>
  <c r="AM109" i="1"/>
  <c r="AJ109" i="1"/>
  <c r="AK109" i="1"/>
  <c r="AL109" i="1"/>
  <c r="AK5" i="1"/>
  <c r="AL5" i="1"/>
  <c r="AM5" i="1"/>
  <c r="AJ5" i="1"/>
  <c r="AL70" i="1"/>
  <c r="AM70" i="1"/>
  <c r="AJ70" i="1"/>
  <c r="AK70" i="1"/>
  <c r="AJ117" i="1"/>
  <c r="AK117" i="1"/>
  <c r="AM117" i="1"/>
  <c r="AL117" i="1"/>
  <c r="AK12" i="1"/>
  <c r="AL12" i="1"/>
  <c r="AM12" i="1"/>
  <c r="AJ12" i="1"/>
  <c r="AK78" i="1"/>
  <c r="AM78" i="1"/>
  <c r="AL78" i="1"/>
  <c r="AJ78" i="1"/>
  <c r="AM213" i="1"/>
  <c r="AJ213" i="1"/>
  <c r="AL213" i="1"/>
  <c r="AK213" i="1"/>
  <c r="AJ52" i="1"/>
  <c r="AK52" i="1"/>
  <c r="AM52" i="1"/>
  <c r="AL52" i="1"/>
  <c r="AK246" i="1"/>
  <c r="AL246" i="1"/>
  <c r="AM246" i="1"/>
  <c r="AJ246" i="1"/>
  <c r="AM265" i="1"/>
  <c r="AK265" i="1"/>
  <c r="AJ265" i="1"/>
  <c r="AL265" i="1"/>
  <c r="AK207" i="1"/>
  <c r="AL207" i="1"/>
  <c r="AM207" i="1"/>
  <c r="AJ207" i="1"/>
  <c r="AJ63" i="1"/>
  <c r="AK63" i="1"/>
  <c r="AM63" i="1"/>
  <c r="AL63" i="1"/>
  <c r="AJ279" i="1"/>
  <c r="AM279" i="1"/>
  <c r="AL279" i="1"/>
  <c r="AK279" i="1"/>
  <c r="AJ266" i="1"/>
  <c r="AK266" i="1"/>
  <c r="AL266" i="1"/>
  <c r="AM266" i="1"/>
  <c r="AJ71" i="1"/>
  <c r="AM71" i="1"/>
  <c r="AL71" i="1"/>
  <c r="AK71" i="1"/>
  <c r="AM50" i="1"/>
  <c r="AK50" i="1"/>
  <c r="AL50" i="1"/>
  <c r="AJ50" i="1"/>
  <c r="AJ243" i="1"/>
  <c r="AK243" i="1"/>
  <c r="AL243" i="1"/>
  <c r="AM243" i="1"/>
  <c r="AL140" i="1"/>
  <c r="AM140" i="1"/>
  <c r="AJ140" i="1"/>
  <c r="AK140" i="1"/>
  <c r="AJ66" i="1"/>
  <c r="AL66" i="1"/>
  <c r="AK66" i="1"/>
  <c r="AM66" i="1"/>
  <c r="AJ113" i="1"/>
  <c r="AK113" i="1"/>
  <c r="AL113" i="1"/>
  <c r="AM113" i="1"/>
  <c r="AM282" i="1"/>
  <c r="AJ282" i="1"/>
  <c r="AK282" i="1"/>
  <c r="AL282" i="1"/>
  <c r="AL87" i="1"/>
  <c r="AM87" i="1"/>
  <c r="AJ87" i="1"/>
  <c r="AK87" i="1"/>
  <c r="AM65" i="1"/>
  <c r="AJ65" i="1"/>
  <c r="AL65" i="1"/>
  <c r="AK65" i="1"/>
  <c r="AL257" i="1"/>
  <c r="AM257" i="1"/>
  <c r="AK257" i="1"/>
  <c r="AJ257" i="1"/>
  <c r="AK156" i="1"/>
  <c r="AL156" i="1"/>
  <c r="AJ156" i="1"/>
  <c r="AM156" i="1"/>
  <c r="AJ137" i="1"/>
  <c r="AK137" i="1"/>
  <c r="AL137" i="1"/>
  <c r="AM137" i="1"/>
  <c r="AJ43" i="1"/>
  <c r="AT43" i="1" s="1"/>
  <c r="AM43" i="1"/>
  <c r="AW43" i="1" s="1"/>
  <c r="AK43" i="1"/>
  <c r="AU43" i="1" s="1"/>
  <c r="AL43" i="1"/>
  <c r="AV43" i="1" s="1"/>
  <c r="AM145" i="1"/>
  <c r="AK145" i="1"/>
  <c r="AJ145" i="1"/>
  <c r="AL145" i="1"/>
  <c r="AL196" i="1"/>
  <c r="AJ196" i="1"/>
  <c r="AK196" i="1"/>
  <c r="AM196" i="1"/>
  <c r="AK204" i="1"/>
  <c r="AJ204" i="1"/>
  <c r="AL204" i="1"/>
  <c r="AM204" i="1"/>
  <c r="AV130" i="1"/>
  <c r="AV111" i="1"/>
  <c r="AV100" i="1"/>
  <c r="AV56" i="1"/>
  <c r="AT263" i="1"/>
  <c r="AT265" i="1"/>
  <c r="AT254" i="1"/>
  <c r="AW35" i="1"/>
  <c r="AV261" i="1"/>
  <c r="AU252" i="1"/>
  <c r="AT27" i="1"/>
  <c r="AV29" i="1"/>
  <c r="AV44" i="1"/>
  <c r="AV172" i="1"/>
  <c r="AU128" i="1"/>
  <c r="AT196" i="1"/>
  <c r="AT198" i="1"/>
  <c r="AU195" i="1"/>
  <c r="AW205" i="1"/>
  <c r="AU259" i="1"/>
  <c r="AV10" i="1"/>
  <c r="AW82" i="1"/>
  <c r="AU33" i="1"/>
  <c r="AW161" i="1"/>
  <c r="AU204" i="1"/>
  <c r="AU217" i="1"/>
  <c r="AT203" i="1"/>
  <c r="AW216" i="1"/>
  <c r="AW271" i="1"/>
  <c r="AU276" i="1"/>
  <c r="AV109" i="1"/>
  <c r="AV124" i="1"/>
  <c r="AU105" i="1"/>
  <c r="AT134" i="1"/>
  <c r="AV102" i="1"/>
  <c r="AV123" i="1"/>
  <c r="AT141" i="1"/>
  <c r="AT234" i="1"/>
  <c r="AU251" i="1"/>
  <c r="AU266" i="1"/>
  <c r="AV24" i="1"/>
  <c r="AW98" i="1"/>
  <c r="AU68" i="1"/>
  <c r="AT30" i="1"/>
  <c r="AU231" i="1"/>
  <c r="AU220" i="1"/>
  <c r="AU233" i="1"/>
  <c r="AU222" i="1"/>
  <c r="AT219" i="1"/>
  <c r="AW232" i="1"/>
  <c r="AV229" i="1"/>
  <c r="AT62" i="1"/>
  <c r="AW278" i="1"/>
  <c r="AW6" i="1"/>
  <c r="AV32" i="1"/>
  <c r="AV239" i="1"/>
  <c r="AW228" i="1"/>
  <c r="AW241" i="1"/>
  <c r="AW230" i="1"/>
  <c r="AV227" i="1"/>
  <c r="AT237" i="1"/>
  <c r="AW264" i="1"/>
  <c r="AU7" i="1"/>
  <c r="AW31" i="1"/>
  <c r="AT129" i="1"/>
  <c r="AT104" i="1"/>
  <c r="AT183" i="1"/>
  <c r="AU165" i="1"/>
  <c r="AT174" i="1"/>
  <c r="AW184" i="1"/>
  <c r="AU281" i="1"/>
  <c r="AW280" i="1"/>
  <c r="AT279" i="1"/>
  <c r="AV5" i="1"/>
  <c r="AU9" i="1"/>
  <c r="AW112" i="1"/>
  <c r="AV191" i="1"/>
  <c r="AV193" i="1"/>
  <c r="AV182" i="1"/>
  <c r="AW189" i="1"/>
  <c r="AV268" i="1"/>
  <c r="AW2" i="1"/>
  <c r="AU130" i="1"/>
  <c r="AU111" i="1"/>
  <c r="AW100" i="1"/>
  <c r="AU56" i="1"/>
  <c r="AU263" i="1"/>
  <c r="AW265" i="1"/>
  <c r="AU254" i="1"/>
  <c r="AU35" i="1"/>
  <c r="AU261" i="1"/>
  <c r="AT252" i="1"/>
  <c r="AW27" i="1"/>
  <c r="AW29" i="1"/>
  <c r="AT44" i="1"/>
  <c r="AT172" i="1"/>
  <c r="AV128" i="1"/>
  <c r="AV196" i="1"/>
  <c r="AV198" i="1"/>
  <c r="AW195" i="1"/>
  <c r="AU205" i="1"/>
  <c r="AV259" i="1"/>
  <c r="AW10" i="1"/>
  <c r="AV82" i="1"/>
  <c r="AW33" i="1"/>
  <c r="AV161" i="1"/>
  <c r="AW204" i="1"/>
  <c r="AW217" i="1"/>
  <c r="AV203" i="1"/>
  <c r="AU216" i="1"/>
  <c r="AV271" i="1"/>
  <c r="AW276" i="1"/>
  <c r="AW109" i="1"/>
  <c r="AT124" i="1"/>
  <c r="AW105" i="1"/>
  <c r="AU134" i="1"/>
  <c r="AU102" i="1"/>
  <c r="AT123" i="1"/>
  <c r="AV141" i="1"/>
  <c r="AV234" i="1"/>
  <c r="AV251" i="1"/>
  <c r="AW266" i="1"/>
  <c r="AT24" i="1"/>
  <c r="AT98" i="1"/>
  <c r="AT68" i="1"/>
  <c r="AV30" i="1"/>
  <c r="AW231" i="1"/>
  <c r="AW220" i="1"/>
  <c r="AW233" i="1"/>
  <c r="AW222" i="1"/>
  <c r="AV219" i="1"/>
  <c r="AU232" i="1"/>
  <c r="AT229" i="1"/>
  <c r="AU62" i="1"/>
  <c r="AV278" i="1"/>
  <c r="AT6" i="1"/>
  <c r="AU32" i="1"/>
  <c r="AW239" i="1"/>
  <c r="AU228" i="1"/>
  <c r="AU241" i="1"/>
  <c r="AU230" i="1"/>
  <c r="AT227" i="1"/>
  <c r="AV237" i="1"/>
  <c r="AU264" i="1"/>
  <c r="AT7" i="1"/>
  <c r="AT31" i="1"/>
  <c r="AV129" i="1"/>
  <c r="AW104" i="1"/>
  <c r="AW183" i="1"/>
  <c r="AW165" i="1"/>
  <c r="AW174" i="1"/>
  <c r="AU184" i="1"/>
  <c r="AW281" i="1"/>
  <c r="AV280" i="1"/>
  <c r="AV279" i="1"/>
  <c r="AU5" i="1"/>
  <c r="AW9" i="1"/>
  <c r="AV112" i="1"/>
  <c r="AU191" i="1"/>
  <c r="AT193" i="1"/>
  <c r="AT182" i="1"/>
  <c r="AU189" i="1"/>
  <c r="AT268" i="1"/>
  <c r="AV2" i="1"/>
  <c r="AT66" i="1"/>
  <c r="AU36" i="1"/>
  <c r="AV164" i="1"/>
  <c r="AV120" i="1"/>
  <c r="AU199" i="1"/>
  <c r="AU188" i="1"/>
  <c r="AU201" i="1"/>
  <c r="AU190" i="1"/>
  <c r="AW200" i="1"/>
  <c r="AV197" i="1"/>
  <c r="AW94" i="1"/>
  <c r="AW194" i="1"/>
  <c r="AT29" i="1"/>
  <c r="AU44" i="1"/>
  <c r="AU172" i="1"/>
  <c r="AW128" i="1"/>
  <c r="AW196" i="1"/>
  <c r="AW198" i="1"/>
  <c r="AV195" i="1"/>
  <c r="AT205" i="1"/>
  <c r="AT259" i="1"/>
  <c r="AT10" i="1"/>
  <c r="AT82" i="1"/>
  <c r="AT33" i="1"/>
  <c r="AU161" i="1"/>
  <c r="AV204" i="1"/>
  <c r="AV217" i="1"/>
  <c r="AU203" i="1"/>
  <c r="AT216" i="1"/>
  <c r="AT271" i="1"/>
  <c r="AV276" i="1"/>
  <c r="AT109" i="1"/>
  <c r="AU124" i="1"/>
  <c r="AT105" i="1"/>
  <c r="AW134" i="1"/>
  <c r="AT102" i="1"/>
  <c r="AU123" i="1"/>
  <c r="AW141" i="1"/>
  <c r="AW234" i="1"/>
  <c r="AT251" i="1"/>
  <c r="AT266" i="1"/>
  <c r="AW24" i="1"/>
  <c r="AV98" i="1"/>
  <c r="AV68" i="1"/>
  <c r="AU30" i="1"/>
  <c r="AT231" i="1"/>
  <c r="AV220" i="1"/>
  <c r="AV233" i="1"/>
  <c r="AV222" i="1"/>
  <c r="AU219" i="1"/>
  <c r="AT232" i="1"/>
  <c r="AW229" i="1"/>
  <c r="AW62" i="1"/>
  <c r="AU278" i="1"/>
  <c r="AV6" i="1"/>
  <c r="AW170" i="1"/>
  <c r="AV140" i="1"/>
  <c r="AW121" i="1"/>
  <c r="AU96" i="1"/>
  <c r="AU175" i="1"/>
  <c r="AT126" i="1"/>
  <c r="AV177" i="1"/>
  <c r="AT176" i="1"/>
  <c r="AT171" i="1"/>
  <c r="AW272" i="1"/>
  <c r="AV275" i="1"/>
  <c r="AV260" i="1"/>
  <c r="AV22" i="1"/>
  <c r="AW17" i="1"/>
  <c r="AV31" i="1"/>
  <c r="AW129" i="1"/>
  <c r="AU104" i="1"/>
  <c r="AU183" i="1"/>
  <c r="AV165" i="1"/>
  <c r="AV174" i="1"/>
  <c r="AT184" i="1"/>
  <c r="AV281" i="1"/>
  <c r="AU280" i="1"/>
  <c r="AW279" i="1"/>
  <c r="AT5" i="1"/>
  <c r="AT9" i="1"/>
  <c r="AU112" i="1"/>
  <c r="AT191" i="1"/>
  <c r="AW193" i="1"/>
  <c r="AW182" i="1"/>
  <c r="AT189" i="1"/>
  <c r="AW268" i="1"/>
  <c r="AU2" i="1"/>
  <c r="AW66" i="1"/>
  <c r="AT36" i="1"/>
  <c r="AT164" i="1"/>
  <c r="AT120" i="1"/>
  <c r="AW199" i="1"/>
  <c r="AW188" i="1"/>
  <c r="AW201" i="1"/>
  <c r="AW190" i="1"/>
  <c r="AU200" i="1"/>
  <c r="AT197" i="1"/>
  <c r="AT94" i="1"/>
  <c r="AV194" i="1"/>
  <c r="AU29" i="1"/>
  <c r="AW44" i="1"/>
  <c r="AW172" i="1"/>
  <c r="AT128" i="1"/>
  <c r="AU196" i="1"/>
  <c r="AU198" i="1"/>
  <c r="AT195" i="1"/>
  <c r="AV205" i="1"/>
  <c r="AW259" i="1"/>
  <c r="AU10" i="1"/>
  <c r="AU82" i="1"/>
  <c r="AV33" i="1"/>
  <c r="AT161" i="1"/>
  <c r="AT204" i="1"/>
  <c r="AT217" i="1"/>
  <c r="AW203" i="1"/>
  <c r="AV216" i="1"/>
  <c r="AU271" i="1"/>
  <c r="AT276" i="1"/>
  <c r="AU109" i="1"/>
  <c r="AW124" i="1"/>
  <c r="AV105" i="1"/>
  <c r="AV134" i="1"/>
  <c r="AW102" i="1"/>
  <c r="AW123" i="1"/>
  <c r="AU141" i="1"/>
  <c r="AU234" i="1"/>
  <c r="AW251" i="1"/>
  <c r="AV266" i="1"/>
  <c r="AU24" i="1"/>
  <c r="AU98" i="1"/>
  <c r="AW68" i="1"/>
  <c r="AW30" i="1"/>
  <c r="AV231" i="1"/>
  <c r="AT220" i="1"/>
  <c r="AT233" i="1"/>
  <c r="AT222" i="1"/>
  <c r="AW219" i="1"/>
  <c r="AV232" i="1"/>
  <c r="AU229" i="1"/>
  <c r="AV62" i="1"/>
  <c r="AT278" i="1"/>
  <c r="AU6" i="1"/>
  <c r="AV170" i="1"/>
  <c r="AT140" i="1"/>
  <c r="AV121" i="1"/>
  <c r="AT96" i="1"/>
  <c r="AT175" i="1"/>
  <c r="AW126" i="1"/>
  <c r="AT177" i="1"/>
  <c r="AV176" i="1"/>
  <c r="AV171" i="1"/>
  <c r="AT272" i="1"/>
  <c r="AW275" i="1"/>
  <c r="AU260" i="1"/>
  <c r="AT22" i="1"/>
  <c r="AU17" i="1"/>
  <c r="AU31" i="1"/>
  <c r="AU129" i="1"/>
  <c r="AV104" i="1"/>
  <c r="AV183" i="1"/>
  <c r="AT165" i="1"/>
  <c r="AU174" i="1"/>
  <c r="AV184" i="1"/>
  <c r="AT281" i="1"/>
  <c r="AT280" i="1"/>
  <c r="AU279" i="1"/>
  <c r="AW5" i="1"/>
  <c r="AV9" i="1"/>
  <c r="AT112" i="1"/>
  <c r="AW191" i="1"/>
  <c r="AU193" i="1"/>
  <c r="AU182" i="1"/>
  <c r="AV189" i="1"/>
  <c r="AU268" i="1"/>
  <c r="AT2" i="1"/>
  <c r="AV66" i="1"/>
  <c r="AV36" i="1"/>
  <c r="AU164" i="1"/>
  <c r="AU120" i="1"/>
  <c r="AT199" i="1"/>
  <c r="AV188" i="1"/>
  <c r="AV201" i="1"/>
  <c r="AV190" i="1"/>
  <c r="AT200" i="1"/>
  <c r="AW197" i="1"/>
  <c r="AU94" i="1"/>
  <c r="AU194" i="1"/>
  <c r="AV93" i="1"/>
  <c r="AW119" i="1"/>
  <c r="AU89" i="1"/>
  <c r="AU38" i="1"/>
  <c r="AW67" i="1"/>
  <c r="AU269" i="1"/>
  <c r="AT267" i="1"/>
  <c r="AV8" i="1"/>
  <c r="AW101" i="1"/>
  <c r="AW146" i="1"/>
  <c r="AW127" i="1"/>
  <c r="AU116" i="1"/>
  <c r="AU97" i="1"/>
  <c r="AT125" i="1"/>
  <c r="AU118" i="1"/>
  <c r="AV91" i="1"/>
  <c r="AW115" i="1"/>
  <c r="AV99" i="1"/>
  <c r="AW163" i="1"/>
  <c r="AW226" i="1"/>
  <c r="AU282" i="1"/>
  <c r="AU16" i="1"/>
  <c r="AV45" i="1"/>
  <c r="AV90" i="1"/>
  <c r="AV60" i="1"/>
  <c r="AW169" i="1"/>
  <c r="AV223" i="1"/>
  <c r="AT225" i="1"/>
  <c r="AV224" i="1"/>
  <c r="AU221" i="1"/>
  <c r="AT250" i="1"/>
  <c r="AU277" i="1"/>
  <c r="AW26" i="1"/>
  <c r="AW34" i="1"/>
  <c r="AW162" i="1"/>
  <c r="AW143" i="1"/>
  <c r="AW113" i="1"/>
  <c r="AU117" i="1"/>
  <c r="AU173" i="1"/>
  <c r="AU110" i="1"/>
  <c r="AU158" i="1"/>
  <c r="AT270" i="1"/>
  <c r="AW262" i="1"/>
  <c r="AT23" i="1"/>
  <c r="AU28" i="1"/>
  <c r="AT170" i="1"/>
  <c r="AU140" i="1"/>
  <c r="AU121" i="1"/>
  <c r="AV96" i="1"/>
  <c r="AV175" i="1"/>
  <c r="AV126" i="1"/>
  <c r="AW177" i="1"/>
  <c r="AU176" i="1"/>
  <c r="AU171" i="1"/>
  <c r="AU272" i="1"/>
  <c r="AT275" i="1"/>
  <c r="AW260" i="1"/>
  <c r="AW22" i="1"/>
  <c r="AT17" i="1"/>
  <c r="AW69" i="1"/>
  <c r="AW114" i="1"/>
  <c r="AW95" i="1"/>
  <c r="AU168" i="1"/>
  <c r="AU247" i="1"/>
  <c r="AU236" i="1"/>
  <c r="AV249" i="1"/>
  <c r="AU238" i="1"/>
  <c r="AT235" i="1"/>
  <c r="AT248" i="1"/>
  <c r="AW245" i="1"/>
  <c r="AV11" i="1"/>
  <c r="AW15" i="1"/>
  <c r="AV122" i="1"/>
  <c r="AW103" i="1"/>
  <c r="AV92" i="1"/>
  <c r="AT255" i="1"/>
  <c r="AW244" i="1"/>
  <c r="AU257" i="1"/>
  <c r="AT246" i="1"/>
  <c r="AU243" i="1"/>
  <c r="AU253" i="1"/>
  <c r="AT258" i="1"/>
  <c r="AV242" i="1"/>
  <c r="AW25" i="1"/>
  <c r="AU66" i="1"/>
  <c r="AW36" i="1"/>
  <c r="AW164" i="1"/>
  <c r="AW120" i="1"/>
  <c r="AV199" i="1"/>
  <c r="AT188" i="1"/>
  <c r="AT201" i="1"/>
  <c r="AT190" i="1"/>
  <c r="AV200" i="1"/>
  <c r="AU197" i="1"/>
  <c r="AV94" i="1"/>
  <c r="AT194" i="1"/>
  <c r="AW93" i="1"/>
  <c r="AT119" i="1"/>
  <c r="AW89" i="1"/>
  <c r="AV38" i="1"/>
  <c r="AU67" i="1"/>
  <c r="AW269" i="1"/>
  <c r="AV267" i="1"/>
  <c r="AT8" i="1"/>
  <c r="AV101" i="1"/>
  <c r="AV146" i="1"/>
  <c r="AT127" i="1"/>
  <c r="AT116" i="1"/>
  <c r="AW97" i="1"/>
  <c r="AW125" i="1"/>
  <c r="AV118" i="1"/>
  <c r="AT91" i="1"/>
  <c r="AU115" i="1"/>
  <c r="AT99" i="1"/>
  <c r="AU163" i="1"/>
  <c r="AV226" i="1"/>
  <c r="AT282" i="1"/>
  <c r="AT16" i="1"/>
  <c r="AW45" i="1"/>
  <c r="AW90" i="1"/>
  <c r="AT60" i="1"/>
  <c r="AV169" i="1"/>
  <c r="AU223" i="1"/>
  <c r="AV225" i="1"/>
  <c r="AT224" i="1"/>
  <c r="AW221" i="1"/>
  <c r="AW250" i="1"/>
  <c r="AV277" i="1"/>
  <c r="AU26" i="1"/>
  <c r="AT34" i="1"/>
  <c r="AT162" i="1"/>
  <c r="AT143" i="1"/>
  <c r="AV113" i="1"/>
  <c r="AW117" i="1"/>
  <c r="AV173" i="1"/>
  <c r="AV110" i="1"/>
  <c r="AV158" i="1"/>
  <c r="AW270" i="1"/>
  <c r="AU262" i="1"/>
  <c r="AU23" i="1"/>
  <c r="AV28" i="1"/>
  <c r="AU170" i="1"/>
  <c r="AW140" i="1"/>
  <c r="AT121" i="1"/>
  <c r="AW96" i="1"/>
  <c r="AW175" i="1"/>
  <c r="AU126" i="1"/>
  <c r="AU177" i="1"/>
  <c r="AW176" i="1"/>
  <c r="AW171" i="1"/>
  <c r="AV272" i="1"/>
  <c r="AU275" i="1"/>
  <c r="AT260" i="1"/>
  <c r="AU22" i="1"/>
  <c r="AV17" i="1"/>
  <c r="AT69" i="1"/>
  <c r="AT114" i="1"/>
  <c r="AT95" i="1"/>
  <c r="AT168" i="1"/>
  <c r="AW247" i="1"/>
  <c r="AW236" i="1"/>
  <c r="AU249" i="1"/>
  <c r="AW238" i="1"/>
  <c r="AV235" i="1"/>
  <c r="AW248" i="1"/>
  <c r="AV245" i="1"/>
  <c r="AU11" i="1"/>
  <c r="AU15" i="1"/>
  <c r="AT122" i="1"/>
  <c r="AT103" i="1"/>
  <c r="AT92" i="1"/>
  <c r="AU255" i="1"/>
  <c r="AT244" i="1"/>
  <c r="AV257" i="1"/>
  <c r="AU246" i="1"/>
  <c r="AW243" i="1"/>
  <c r="AV253" i="1"/>
  <c r="AU258" i="1"/>
  <c r="AW242" i="1"/>
  <c r="AT25" i="1"/>
  <c r="AT130" i="1"/>
  <c r="AW111" i="1"/>
  <c r="AU100" i="1"/>
  <c r="AW56" i="1"/>
  <c r="AV263" i="1"/>
  <c r="AV265" i="1"/>
  <c r="AV254" i="1"/>
  <c r="AV35" i="1"/>
  <c r="AW261" i="1"/>
  <c r="AV252" i="1"/>
  <c r="AV27" i="1"/>
  <c r="AT93" i="1"/>
  <c r="AV119" i="1"/>
  <c r="AT89" i="1"/>
  <c r="AT38" i="1"/>
  <c r="AT67" i="1"/>
  <c r="AV269" i="1"/>
  <c r="AW267" i="1"/>
  <c r="AW8" i="1"/>
  <c r="AT101" i="1"/>
  <c r="AT146" i="1"/>
  <c r="AV127" i="1"/>
  <c r="AV116" i="1"/>
  <c r="AT97" i="1"/>
  <c r="AU125" i="1"/>
  <c r="AT118" i="1"/>
  <c r="AW91" i="1"/>
  <c r="AT115" i="1"/>
  <c r="AW99" i="1"/>
  <c r="AT163" i="1"/>
  <c r="AU226" i="1"/>
  <c r="AW282" i="1"/>
  <c r="AV16" i="1"/>
  <c r="AT45" i="1"/>
  <c r="AT90" i="1"/>
  <c r="AU60" i="1"/>
  <c r="AU169" i="1"/>
  <c r="AT223" i="1"/>
  <c r="AW225" i="1"/>
  <c r="AU224" i="1"/>
  <c r="AT221" i="1"/>
  <c r="AU250" i="1"/>
  <c r="AT277" i="1"/>
  <c r="AT26" i="1"/>
  <c r="AV34" i="1"/>
  <c r="AV162" i="1"/>
  <c r="AV143" i="1"/>
  <c r="AU113" i="1"/>
  <c r="AV117" i="1"/>
  <c r="AW173" i="1"/>
  <c r="AT110" i="1"/>
  <c r="AT158" i="1"/>
  <c r="AU270" i="1"/>
  <c r="AT262" i="1"/>
  <c r="AW23" i="1"/>
  <c r="AT28" i="1"/>
  <c r="AW32" i="1"/>
  <c r="AT239" i="1"/>
  <c r="AV228" i="1"/>
  <c r="AV241" i="1"/>
  <c r="AV230" i="1"/>
  <c r="AU227" i="1"/>
  <c r="AW237" i="1"/>
  <c r="AV264" i="1"/>
  <c r="AV7" i="1"/>
  <c r="AV69" i="1"/>
  <c r="AV114" i="1"/>
  <c r="AV95" i="1"/>
  <c r="AV168" i="1"/>
  <c r="AV247" i="1"/>
  <c r="AV236" i="1"/>
  <c r="AW249" i="1"/>
  <c r="AV238" i="1"/>
  <c r="AU235" i="1"/>
  <c r="AU248" i="1"/>
  <c r="AT245" i="1"/>
  <c r="AT11" i="1"/>
  <c r="AT15" i="1"/>
  <c r="AW122" i="1"/>
  <c r="AV103" i="1"/>
  <c r="AU92" i="1"/>
  <c r="AW255" i="1"/>
  <c r="AV244" i="1"/>
  <c r="AT257" i="1"/>
  <c r="AW246" i="1"/>
  <c r="AV243" i="1"/>
  <c r="AT253" i="1"/>
  <c r="AW258" i="1"/>
  <c r="AU242" i="1"/>
  <c r="AU25" i="1"/>
  <c r="AW130" i="1"/>
  <c r="AT111" i="1"/>
  <c r="AT100" i="1"/>
  <c r="AT56" i="1"/>
  <c r="AW263" i="1"/>
  <c r="AU265" i="1"/>
  <c r="AW254" i="1"/>
  <c r="AT35" i="1"/>
  <c r="AT261" i="1"/>
  <c r="AW252" i="1"/>
  <c r="AU27" i="1"/>
  <c r="AU93" i="1"/>
  <c r="AU119" i="1"/>
  <c r="AV89" i="1"/>
  <c r="AW38" i="1"/>
  <c r="AV67" i="1"/>
  <c r="AT269" i="1"/>
  <c r="AU267" i="1"/>
  <c r="AU8" i="1"/>
  <c r="AU101" i="1"/>
  <c r="AU146" i="1"/>
  <c r="AU127" i="1"/>
  <c r="AW116" i="1"/>
  <c r="AV97" i="1"/>
  <c r="AV125" i="1"/>
  <c r="AW118" i="1"/>
  <c r="AU91" i="1"/>
  <c r="AV115" i="1"/>
  <c r="AU99" i="1"/>
  <c r="AV163" i="1"/>
  <c r="AT226" i="1"/>
  <c r="AV282" i="1"/>
  <c r="AW16" i="1"/>
  <c r="AU45" i="1"/>
  <c r="AU90" i="1"/>
  <c r="AW60" i="1"/>
  <c r="AT169" i="1"/>
  <c r="AW223" i="1"/>
  <c r="AU225" i="1"/>
  <c r="AW224" i="1"/>
  <c r="AV221" i="1"/>
  <c r="AV250" i="1"/>
  <c r="AW277" i="1"/>
  <c r="AV26" i="1"/>
  <c r="AU34" i="1"/>
  <c r="AU162" i="1"/>
  <c r="AU143" i="1"/>
  <c r="AT113" i="1"/>
  <c r="AT117" i="1"/>
  <c r="AT173" i="1"/>
  <c r="AW110" i="1"/>
  <c r="AW158" i="1"/>
  <c r="AV270" i="1"/>
  <c r="AV262" i="1"/>
  <c r="AV23" i="1"/>
  <c r="AW28" i="1"/>
  <c r="AT32" i="1"/>
  <c r="AU239" i="1"/>
  <c r="AT228" i="1"/>
  <c r="AT241" i="1"/>
  <c r="AT230" i="1"/>
  <c r="AW227" i="1"/>
  <c r="AU237" i="1"/>
  <c r="AT264" i="1"/>
  <c r="AW7" i="1"/>
  <c r="AU69" i="1"/>
  <c r="AU114" i="1"/>
  <c r="AU95" i="1"/>
  <c r="AW168" i="1"/>
  <c r="AT247" i="1"/>
  <c r="AT236" i="1"/>
  <c r="AT249" i="1"/>
  <c r="AT238" i="1"/>
  <c r="AW235" i="1"/>
  <c r="AV248" i="1"/>
  <c r="AU245" i="1"/>
  <c r="AW11" i="1"/>
  <c r="AV15" i="1"/>
  <c r="AU122" i="1"/>
  <c r="AU103" i="1"/>
  <c r="AW92" i="1"/>
  <c r="AV255" i="1"/>
  <c r="AU244" i="1"/>
  <c r="AW257" i="1"/>
  <c r="AV246" i="1"/>
  <c r="AT243" i="1"/>
  <c r="AW253" i="1"/>
  <c r="AV258" i="1"/>
  <c r="AT242" i="1"/>
  <c r="AV25" i="1"/>
</calcChain>
</file>

<file path=xl/sharedStrings.xml><?xml version="1.0" encoding="utf-8"?>
<sst xmlns="http://schemas.openxmlformats.org/spreadsheetml/2006/main" count="1193" uniqueCount="331">
  <si>
    <t>O</t>
  </si>
  <si>
    <t>S</t>
  </si>
  <si>
    <t>N</t>
  </si>
  <si>
    <t>Название</t>
  </si>
  <si>
    <t>N узла</t>
  </si>
  <si>
    <t>Модель</t>
  </si>
  <si>
    <t>Марка</t>
  </si>
  <si>
    <t>K_ген</t>
  </si>
  <si>
    <t>N_взб</t>
  </si>
  <si>
    <t>N_турб</t>
  </si>
  <si>
    <t>N РТ</t>
  </si>
  <si>
    <t>P</t>
  </si>
  <si>
    <t>Q</t>
  </si>
  <si>
    <t>P_ном</t>
  </si>
  <si>
    <t>Uг_ном</t>
  </si>
  <si>
    <t>COS(Ф)_ном</t>
  </si>
  <si>
    <t>К_демп</t>
  </si>
  <si>
    <t>Mj</t>
  </si>
  <si>
    <t>X'd</t>
  </si>
  <si>
    <t>Xd</t>
  </si>
  <si>
    <t>Xq</t>
  </si>
  <si>
    <t>X"d</t>
  </si>
  <si>
    <t>X"q</t>
  </si>
  <si>
    <t>T'd0</t>
  </si>
  <si>
    <t>T"d0</t>
  </si>
  <si>
    <t>T"q0</t>
  </si>
  <si>
    <t>X'q</t>
  </si>
  <si>
    <t>X_l</t>
  </si>
  <si>
    <t>X2</t>
  </si>
  <si>
    <t>X0</t>
  </si>
  <si>
    <t>T'q0</t>
  </si>
  <si>
    <t>False</t>
  </si>
  <si>
    <t>True</t>
  </si>
  <si>
    <t>Улан-Удэнская ТЭЦ-1 - ТГ-7</t>
  </si>
  <si>
    <t>3к-Парк</t>
  </si>
  <si>
    <t>Улан-Удэнская ТЭЦ-1 - ТГ-1</t>
  </si>
  <si>
    <t>Улан-Удэнская ТЭЦ-1 - ТГ-3</t>
  </si>
  <si>
    <t>Улан-Удэнская ТЭЦ-1 - ТГ-6</t>
  </si>
  <si>
    <t>Гусиноозёрская ГРЭС - 6ГТ</t>
  </si>
  <si>
    <t>Гусиноозёрская ГРЭС - 1ГТ</t>
  </si>
  <si>
    <t>Гусиноозёрская ГРЭС - 2ГТ</t>
  </si>
  <si>
    <t>Гусиноозёрская ГРЭС - 3ГТ</t>
  </si>
  <si>
    <t>Гусиноозёрская ГРЭС - 5ГТ</t>
  </si>
  <si>
    <t>Гусиноозёрская ГРЭС - 4ГТ</t>
  </si>
  <si>
    <t>ТЭЦ Селенгинского ЦКК - ТГ-2</t>
  </si>
  <si>
    <t>ТЭЦ Селенгинского ЦКК - ТГ-3</t>
  </si>
  <si>
    <t>ТЭЦ Селенгинского ЦКК - ТГ-1</t>
  </si>
  <si>
    <t>Майнская ГЭС - Г1</t>
  </si>
  <si>
    <t>Майнская ГЭС - Г3</t>
  </si>
  <si>
    <t>Майнская ГЭС - Г2</t>
  </si>
  <si>
    <t>Абаканская ТЭЦ - 3Г</t>
  </si>
  <si>
    <t>Абаканская ТЭЦ - 4Г</t>
  </si>
  <si>
    <t>Абаканская ТЭЦ - 2Г</t>
  </si>
  <si>
    <t>Абаканская ТЭЦ - 1Г</t>
  </si>
  <si>
    <t>Саяно-Шушенская ГЭС - Г2</t>
  </si>
  <si>
    <t>Саяно-Шушенская ГЭС - Г10</t>
  </si>
  <si>
    <t>Саяно-Шушенская ГЭС - Г9</t>
  </si>
  <si>
    <t>Саяно-Шушенская ГЭС - Г1</t>
  </si>
  <si>
    <t>Саяно-Шушенская ГЭС - Г8</t>
  </si>
  <si>
    <t>Саяно-Шушенская ГЭС - Г7</t>
  </si>
  <si>
    <t>Саяно-Шушенская ГЭС - Г6</t>
  </si>
  <si>
    <t>Саяно-Шушенская ГЭС - Г4</t>
  </si>
  <si>
    <t>Саяно-Шушенская ГЭС - Г3</t>
  </si>
  <si>
    <t>Саяно-Шушенская ГЭС - Г5</t>
  </si>
  <si>
    <t>Барнаульская ТЭЦ-2 - ТГ-6</t>
  </si>
  <si>
    <t>Барнаульская ТЭЦ-2 - ТГ-7</t>
  </si>
  <si>
    <t>Барнаульская ТЭЦ-2 - ТГ-8</t>
  </si>
  <si>
    <t>Барнаульская ТЭЦ-3 - ТГ-2</t>
  </si>
  <si>
    <t>Барнаульская ТЭЦ-3 - ТГ-3</t>
  </si>
  <si>
    <t>Барнаульская ТЭЦ-3 - ТГ-1</t>
  </si>
  <si>
    <t>Бийская ТЭЦ-1 - ТГ-6</t>
  </si>
  <si>
    <t>Бийская ТЭЦ-1 - ТГ-7</t>
  </si>
  <si>
    <t>Бийская ТЭЦ-1 - ТГ-5</t>
  </si>
  <si>
    <t>Бийская ТЭЦ-1 - ТГ-3</t>
  </si>
  <si>
    <t>Бийская ТЭЦ-1 - ТГ-1</t>
  </si>
  <si>
    <t>ТЭЦ АКХЗ - ТГ-3</t>
  </si>
  <si>
    <t>ТЭЦ АКХЗ - ТГ-1</t>
  </si>
  <si>
    <t>ТЭЦ АКХЗ - ТГ-2</t>
  </si>
  <si>
    <t>КЭС Кокс - ТГ 2</t>
  </si>
  <si>
    <t>КЭС Кокс - ТГ 3</t>
  </si>
  <si>
    <t>КЭС Кокс - ТГ 1</t>
  </si>
  <si>
    <t>Западно-Сибирская ТЭЦ - ТГ-3</t>
  </si>
  <si>
    <t>Западно-Сибирская ТЭЦ - ТГ-7</t>
  </si>
  <si>
    <t>Западно-Сибирская ТЭЦ - ТГ-1</t>
  </si>
  <si>
    <t>Западно-Сибирская ТЭЦ - ТГ-2</t>
  </si>
  <si>
    <t>Западно-Сибирская ТЭЦ - ТГ-4</t>
  </si>
  <si>
    <t>Западно-Сибирская ТЭЦ - ТГ-5</t>
  </si>
  <si>
    <t>Западно-Сибирская ТЭЦ - ТГ-6</t>
  </si>
  <si>
    <t>Кузнецкая ТЭЦ - ТГ-12</t>
  </si>
  <si>
    <t>Кузнецкая ТЭЦ - ТГ-4</t>
  </si>
  <si>
    <t>Кузнецкая ТЭЦ - ТГ-9</t>
  </si>
  <si>
    <t>Кузнецкая ТЭЦ - ТГ-11</t>
  </si>
  <si>
    <t>Кузнецкая ТЭЦ - ТГ-13</t>
  </si>
  <si>
    <t>Кузнецкая ТЭЦ - ТГ-3</t>
  </si>
  <si>
    <t>Кузнецкая ТЭЦ - ТГ-6</t>
  </si>
  <si>
    <t>Центральная ТЭЦ - ТГ-3</t>
  </si>
  <si>
    <t>Центральная ТЭЦ - ТГ-6</t>
  </si>
  <si>
    <t>Центральная ТЭЦ - ТГ-4</t>
  </si>
  <si>
    <t>Южно-Кузбасская ГРЭС - ТГ-2</t>
  </si>
  <si>
    <t>Южно-Кузбасская ГРЭС - ТГ-7</t>
  </si>
  <si>
    <t>Южно-Кузбасская ГРЭС - ТГ-3</t>
  </si>
  <si>
    <t>Южно-Кузбасская ГРЭС - ТГ-1</t>
  </si>
  <si>
    <t>Южно-Кузбасская ГРЭС - ТГ-6</t>
  </si>
  <si>
    <t>Южно-Кузбасская ГРЭС - ТГ-5</t>
  </si>
  <si>
    <t>Южно-Кузбасская ГРЭС - ТГ-4</t>
  </si>
  <si>
    <t>Южно-Кузбасская ГРЭС - ТГ-8</t>
  </si>
  <si>
    <t>Томь-Усинская ГРЭС - ТГ2</t>
  </si>
  <si>
    <t>Томь-Усинская ГРЭС - ТГ4</t>
  </si>
  <si>
    <t>Томь-Усинская ГРЭС - ТГ3</t>
  </si>
  <si>
    <t>Томь-Усинская ГРЭС - ТГ1</t>
  </si>
  <si>
    <t>Томь-Усинская ГРЭС - ТГ6</t>
  </si>
  <si>
    <t>Томь-Усинская ГРЭС - ТГ7</t>
  </si>
  <si>
    <t>Томь-Усинская ГРЭС - ТГ8</t>
  </si>
  <si>
    <t>Томь-Усинская ГРЭС - ТГ9</t>
  </si>
  <si>
    <t>Ново-Кемеровская ТЭЦ - ТГ-14</t>
  </si>
  <si>
    <t>Ново-Кемеровская ТЭЦ - ТГ-15</t>
  </si>
  <si>
    <t>Ново-Кемеровская ТЭЦ - ТГ-10</t>
  </si>
  <si>
    <t>Ново-Кемеровская ТЭЦ - ТГ-7</t>
  </si>
  <si>
    <t>Ново-Кемеровская ТЭЦ - ТГ-11</t>
  </si>
  <si>
    <t>Ново-Кемеровская ТЭЦ - ТГ-9</t>
  </si>
  <si>
    <t>Ново-Кемеровская ТЭЦ - ТГ-12</t>
  </si>
  <si>
    <t>Усть-Илимская ГЭС - 14Г</t>
  </si>
  <si>
    <t>Усть-Илимская ГЭС - 13Г</t>
  </si>
  <si>
    <t>Усть-Илимская ГЭС - 12Г</t>
  </si>
  <si>
    <t>Усть-Илимская ГЭС - 11Г</t>
  </si>
  <si>
    <t>Усть-Илимская ГЭС - 10Г</t>
  </si>
  <si>
    <t>Усть-Илимская ГЭС - 9Г</t>
  </si>
  <si>
    <t>Усть-Илимская ГЭС - 8Г</t>
  </si>
  <si>
    <t>Усть-Илимская ГЭС - 7Г</t>
  </si>
  <si>
    <t>Усть-Илимская ГЭС - 6Г</t>
  </si>
  <si>
    <t>Усть-Илимская ГЭС - 5Г</t>
  </si>
  <si>
    <t>Усть-Илимская ГЭС - 4Г</t>
  </si>
  <si>
    <t>Усть-Илимская ГЭС - 3Г</t>
  </si>
  <si>
    <t>Усть-Илимская ГЭС - 2Г</t>
  </si>
  <si>
    <t>Усть-Илимская ГЭС - 1Г</t>
  </si>
  <si>
    <t>Усть-Илимская ГЭС - 16Г</t>
  </si>
  <si>
    <t>Усть-Илимская ГЭС - 15Г</t>
  </si>
  <si>
    <t>Усть-Илимская ТЭЦ - ТГ-1</t>
  </si>
  <si>
    <t>Усть-Илимская ТЭЦ - ТГ-3</t>
  </si>
  <si>
    <t>Усть-Илимская ТЭЦ - ТГ-4</t>
  </si>
  <si>
    <t>Усть-Илимская ТЭЦ - ТГ-5</t>
  </si>
  <si>
    <t>Братская ГЭС - 8Г</t>
  </si>
  <si>
    <t>Братская ГЭС - 1Г</t>
  </si>
  <si>
    <t>Братская ГЭС - 2Г</t>
  </si>
  <si>
    <t>Братская ГЭС - 7Г</t>
  </si>
  <si>
    <t>Братская ГЭС - 6Г</t>
  </si>
  <si>
    <t>Братская ГЭС - 18Г</t>
  </si>
  <si>
    <t>Братская ГЭС - 17Г</t>
  </si>
  <si>
    <t>Братская ГЭС - 16Г</t>
  </si>
  <si>
    <t>Братская ГЭС - 14Г</t>
  </si>
  <si>
    <t>Братская ГЭС - 13Г</t>
  </si>
  <si>
    <t>Братская ГЭС - 12Г</t>
  </si>
  <si>
    <t>Братская ГЭС - 4Г</t>
  </si>
  <si>
    <t>Братская ГЭС - 3Г</t>
  </si>
  <si>
    <t>Братская ГЭС - 9Г</t>
  </si>
  <si>
    <t>Братская ГЭС - 5Г</t>
  </si>
  <si>
    <t>Братская ГЭС - 10Г</t>
  </si>
  <si>
    <t>Братская ГЭС - 11Г</t>
  </si>
  <si>
    <t>Братская ГЭС - 15Г</t>
  </si>
  <si>
    <t>Мамаканская ГЭС - ГГ-1</t>
  </si>
  <si>
    <t>Мамаканская ГЭС - ГГ-2</t>
  </si>
  <si>
    <t>Мамаканская ГЭС - ГГ-3</t>
  </si>
  <si>
    <t>Мамаканская ГЭС - ГГ-4</t>
  </si>
  <si>
    <t>Иркутская ТЭЦ-6 - ТГ-2</t>
  </si>
  <si>
    <t>Иркутская ТЭЦ-6 - ТГ-4</t>
  </si>
  <si>
    <t>Иркутская ТЭЦ-6 - ТГ-5</t>
  </si>
  <si>
    <t>Иркутская ТЭЦ-6 - ТГ-3</t>
  </si>
  <si>
    <t>Иркутская ТЭЦ-6 - ТГ-1</t>
  </si>
  <si>
    <t>Беловская ГРЭС - ТГ-1</t>
  </si>
  <si>
    <t>Беловская ГРЭС - ТГ-2</t>
  </si>
  <si>
    <t>Беловская ГРЭС - ТГ-3</t>
  </si>
  <si>
    <t>Беловская ГРЭС - ТГ-5</t>
  </si>
  <si>
    <t>Беловская ГРЭС - ТГ-4</t>
  </si>
  <si>
    <t>Беловская ГРЭС - ТГ-6</t>
  </si>
  <si>
    <t>Кемеровская ГРЭС - ТГ-10</t>
  </si>
  <si>
    <t>Кемеровская ГРЭС - ТГ-3</t>
  </si>
  <si>
    <t>Кемеровская ГРЭС - ТГ-9</t>
  </si>
  <si>
    <t>Кемеровская ГРЭС - ТГ-7</t>
  </si>
  <si>
    <t>Кемеровская ГРЭС - ТГ-5</t>
  </si>
  <si>
    <t>Кемеровская ГРЭС - ТГ-13</t>
  </si>
  <si>
    <t>Кемеровская ГРЭС - ТГ-6</t>
  </si>
  <si>
    <t>Кемеровская ГРЭС - ТГ-11</t>
  </si>
  <si>
    <t>Кемеровская ГРЭС - ТГ-12</t>
  </si>
  <si>
    <t>Кемеровская ТЭЦ - ТГ-4</t>
  </si>
  <si>
    <t>Кемеровская ТЭЦ - ТГ-7</t>
  </si>
  <si>
    <t>ТЭЦ ЮрМаш - ТГ-1</t>
  </si>
  <si>
    <t>Ново-Зиминская ТЭЦ - ТГ-3</t>
  </si>
  <si>
    <t>Ново-Зиминская ТЭЦ - ТГ-2</t>
  </si>
  <si>
    <t>Ново-Зиминская ТЭЦ - ТГ-1</t>
  </si>
  <si>
    <t>Иркутская ТЭЦ-11 - ТГ-8</t>
  </si>
  <si>
    <t>Иркутская ТЭЦ-11 - ТГ-6</t>
  </si>
  <si>
    <t>Иркутская ТЭЦ-11 - ТГ-1</t>
  </si>
  <si>
    <t>Иркутская ТЭЦ-11 - ТГ-3</t>
  </si>
  <si>
    <t>Иркутская ТЭЦ-10 - ТГ-1</t>
  </si>
  <si>
    <t>Иркутская ТЭЦ-10 - ТГ-2</t>
  </si>
  <si>
    <t>Иркутская ТЭЦ-10 - ТГ-4</t>
  </si>
  <si>
    <t>Иркутская ТЭЦ-10 - ТГ-5</t>
  </si>
  <si>
    <t>Иркутская ТЭЦ-10 - ТГ-6</t>
  </si>
  <si>
    <t>Ново-Иркутская ТЭЦ - ТГ-2</t>
  </si>
  <si>
    <t>Ново-Иркутская ТЭЦ - ТГ-6</t>
  </si>
  <si>
    <t>Ново-Иркутская ТЭЦ - ТГ-5</t>
  </si>
  <si>
    <t>Ново-Иркутская ТЭЦ - ТГ-4</t>
  </si>
  <si>
    <t>Ново-Иркутская ТЭЦ - ТГ-3</t>
  </si>
  <si>
    <t>Иркутская ГЭС - 8Г</t>
  </si>
  <si>
    <t>Иркутская ГЭС - 1Г</t>
  </si>
  <si>
    <t>Иркутская ГЭС - 7Г</t>
  </si>
  <si>
    <t>Иркутская ГЭС - 5Г</t>
  </si>
  <si>
    <t>Иркутская ГЭС - 4Г</t>
  </si>
  <si>
    <t>Иркутская ГЭС - 6Г</t>
  </si>
  <si>
    <t>Иркутская ГЭС - 3Г</t>
  </si>
  <si>
    <t>Иркутская ТЭЦ-9 - ТГ-6</t>
  </si>
  <si>
    <t>Иркутская ТЭЦ-9 - ТГ-5</t>
  </si>
  <si>
    <t>Иркутская ТЭЦ-9 - ТГ-3</t>
  </si>
  <si>
    <t>Иркутская ТЭЦ-9 - ТГ-2</t>
  </si>
  <si>
    <t>Иркутская ТЭЦ-9 - ТГ-8</t>
  </si>
  <si>
    <t>Иркутская ТЭЦ-9 - ТГ-7</t>
  </si>
  <si>
    <t>Участок №1 Иркутской ТЭЦ-9  - ТГ-9</t>
  </si>
  <si>
    <t>Участок №1 Иркутской ТЭЦ-9  - ТГ-7</t>
  </si>
  <si>
    <t>Приаргунская ТЭЦ - ТГ-2</t>
  </si>
  <si>
    <t>Шерловогорская ТЭЦ - ТГ-2</t>
  </si>
  <si>
    <t>ТЭЦ ППГХО - ТГ-4</t>
  </si>
  <si>
    <t>ТЭЦ ППГХО - ТГ-5</t>
  </si>
  <si>
    <t>ТЭЦ ППГХО - ТГ-6</t>
  </si>
  <si>
    <t>ТЭЦ ППГХО - ТГ-7</t>
  </si>
  <si>
    <t>Первомайская ТЭЦ - ТГ-3</t>
  </si>
  <si>
    <t>Харанорская ГРЭС - ТГ-1</t>
  </si>
  <si>
    <t>Харанорская ГРЭС - ТГ-2</t>
  </si>
  <si>
    <t>Харанорская ГРЭС - ТГ-3</t>
  </si>
  <si>
    <t>Читинская ТЭЦ-1 - ТГ-4</t>
  </si>
  <si>
    <t>Читинская ТЭЦ-1 - ТГ-3</t>
  </si>
  <si>
    <t>Читинская ТЭЦ-1 - ТГ-5</t>
  </si>
  <si>
    <t>Читинская ТЭЦ-1 - ТГ-6</t>
  </si>
  <si>
    <t>Читинская ТЭЦ-1 - ТГ-2</t>
  </si>
  <si>
    <t>Читинская ТЭЦ-1 - ТГ-1</t>
  </si>
  <si>
    <t>Читинская ТЭЦ-2 - ТГ-1</t>
  </si>
  <si>
    <t>Читинская ТЭЦ-2 - ТГ-2</t>
  </si>
  <si>
    <t>Барнаульская ТЭЦ-2_ТГ-5</t>
  </si>
  <si>
    <t>Барнаульская ТЭЦ-2_ТГ-9</t>
  </si>
  <si>
    <t>Барнаульская ГТ ТЭЦ_ТГ-1</t>
  </si>
  <si>
    <t>Барнаульская ГТ ТЭЦ_ТГ-2</t>
  </si>
  <si>
    <t>Барнаульская ГТ ТЭЦ_ТГ-3</t>
  </si>
  <si>
    <t>Барнаульская ГТ ТЭЦ_ТГ-4</t>
  </si>
  <si>
    <t>Бийская ТЭЦ-1_ТГ-4</t>
  </si>
  <si>
    <t>Бийская ТЭЦ-1_ТГ-8</t>
  </si>
  <si>
    <t>Томь-Усинская ГРЭС - ТГ5</t>
  </si>
  <si>
    <t>Ново-Кемеровская ТЭЦ - ТГ-13</t>
  </si>
  <si>
    <t>Кемеровская ТЭЦ - ТГ-3</t>
  </si>
  <si>
    <t>Кемеровская ТЭЦ - ТГ-2</t>
  </si>
  <si>
    <t>ГТЭС Новокузнецкая - ТГ-14</t>
  </si>
  <si>
    <t>ГТЭС Новокузнецкая - ТГ-15</t>
  </si>
  <si>
    <t>Центральная ТЭЦ - ТГ-5</t>
  </si>
  <si>
    <t>ТЭЦ ЮрМаш - ТГ-3</t>
  </si>
  <si>
    <t>Березовская ГРЭС - Блок 1</t>
  </si>
  <si>
    <t>Березовская ГРЭС - Блок 2</t>
  </si>
  <si>
    <t>Березовская ГРЭС - Блок 3</t>
  </si>
  <si>
    <t>Богучанская ГЭС - Г1</t>
  </si>
  <si>
    <t>Богучанская ГЭС - Г2</t>
  </si>
  <si>
    <t>Богучанская ГЭС - Г3</t>
  </si>
  <si>
    <t>Богучанская ГЭС - Г4</t>
  </si>
  <si>
    <t>Богучанская ГЭС - Г5</t>
  </si>
  <si>
    <t>Богучанская ГЭС - Г6</t>
  </si>
  <si>
    <t>Богучанская ГЭС - Г7</t>
  </si>
  <si>
    <t>Богучанская ГЭС - Г8</t>
  </si>
  <si>
    <t>Богучанская ГЭС - Г9</t>
  </si>
  <si>
    <t>Канская ТЭЦ - ТГ-1</t>
  </si>
  <si>
    <t>Канская ТЭЦ - ТГ-2</t>
  </si>
  <si>
    <t>Канская ТЭЦ - ТГ-3</t>
  </si>
  <si>
    <t>Красноярская ГРЭС-2 - Блок 1</t>
  </si>
  <si>
    <t>Красноярская ГРЭС-2 - Блок 2</t>
  </si>
  <si>
    <t>Красноярская ГРЭС-2 - Блок 4</t>
  </si>
  <si>
    <t>Красноярская ГРЭС-2 - Блок 5</t>
  </si>
  <si>
    <t>Красноярская ГРЭС-2 - Блок 6</t>
  </si>
  <si>
    <t>Красноярская ГРЭС-2 - Блок 7</t>
  </si>
  <si>
    <t>Красноярская ГРЭС-2 - Блок 8</t>
  </si>
  <si>
    <t>Красноярская ГРЭС-2 - 9Г</t>
  </si>
  <si>
    <t>Красноярская ГРЭС-2 - 10Г</t>
  </si>
  <si>
    <t>Красноярская ГЭС - 1Г</t>
  </si>
  <si>
    <t>Красноярская ГЭС - 2Г</t>
  </si>
  <si>
    <t>Красноярская ГЭС - 3Г</t>
  </si>
  <si>
    <t>Красноярская ГЭС - 4Г</t>
  </si>
  <si>
    <t>Красноярская ГЭС - 5Г</t>
  </si>
  <si>
    <t>Красноярская ГЭС - 6Г</t>
  </si>
  <si>
    <t>Красноярская ГЭС - 7Г</t>
  </si>
  <si>
    <t>Красноярская ГЭС - 8Г</t>
  </si>
  <si>
    <t>Красноярская ГЭС - 9Г</t>
  </si>
  <si>
    <t>Красноярская ГЭС - 10Г</t>
  </si>
  <si>
    <t>Красноярская ГЭС - 11Г</t>
  </si>
  <si>
    <t>Красноярская ГЭС - 12Г</t>
  </si>
  <si>
    <t>Красноярская ТЭЦ-1 - ТГ-3</t>
  </si>
  <si>
    <t>Красноярская ТЭЦ-1 - ТГ-4</t>
  </si>
  <si>
    <t>Красноярская ТЭЦ-1 - ТГ-5</t>
  </si>
  <si>
    <t>Красноярская ТЭЦ-1 - ТГ-6</t>
  </si>
  <si>
    <t>Красноярская ТЭЦ-1 - ТГ-7</t>
  </si>
  <si>
    <t>Красноярская ТЭЦ-1 - ТГ-8</t>
  </si>
  <si>
    <t>Красноярская ТЭЦ-1 - ТГ-9</t>
  </si>
  <si>
    <t>Красноярская ТЭЦ-1 - ТГ-10</t>
  </si>
  <si>
    <t>Красноярская ТЭЦ-1 - ТГ-11</t>
  </si>
  <si>
    <t>Красноярская ТЭЦ-1 - ТГ-12</t>
  </si>
  <si>
    <t>Красноярская ТЭЦ-2 - ТГ-1</t>
  </si>
  <si>
    <t>Красноярская ТЭЦ-2 - ТГ-2</t>
  </si>
  <si>
    <t>Красноярская ТЭЦ-2 - ТГ-3</t>
  </si>
  <si>
    <t>Красноярская ТЭЦ-2 - ТГ-4</t>
  </si>
  <si>
    <t>Красноярская ТЭЦ-3 - Блок 1</t>
  </si>
  <si>
    <t>Кызылская ТЭЦ - ТГ2</t>
  </si>
  <si>
    <t>Кызылская ТЭЦ - ТГ3</t>
  </si>
  <si>
    <t>Кызылская ТЭЦ - ТГ4</t>
  </si>
  <si>
    <t>Кызылская ТЭЦ - ТГ5</t>
  </si>
  <si>
    <t>Минусинская ТЭЦ - 1Г</t>
  </si>
  <si>
    <t>Назаровская ГРЭС - Блок 1</t>
  </si>
  <si>
    <t>Назаровская ГРЭС - Блок 2</t>
  </si>
  <si>
    <t>Назаровская ГРЭС - Блок 3</t>
  </si>
  <si>
    <t>Назаровская ГРЭС - Блок 4</t>
  </si>
  <si>
    <t>Назаровская ГРЭС - Блок 5</t>
  </si>
  <si>
    <t>Назаровская ГРЭС - Блок 6</t>
  </si>
  <si>
    <t>Назаровская ГРЭС - Блок 7</t>
  </si>
  <si>
    <t>ТЭЦ РУСАЛ Ачинск - Г-1</t>
  </si>
  <si>
    <t>ТЭЦ РУСАЛ Ачинск - Г-2</t>
  </si>
  <si>
    <t>ТЭЦ РУСАЛ Ачинск - Г-3</t>
  </si>
  <si>
    <t>ТЭЦ РУСАЛ Ачинск - Г-4</t>
  </si>
  <si>
    <t>ТЭЦ РУСАЛ Ачинск - Г-5</t>
  </si>
  <si>
    <t>ТЭЦ РУСАЛ Ачинск - Г-6</t>
  </si>
  <si>
    <t>T1</t>
  </si>
  <si>
    <t>T2</t>
  </si>
  <si>
    <t>Rfd</t>
  </si>
  <si>
    <t>Lfd</t>
  </si>
  <si>
    <t>R1d</t>
  </si>
  <si>
    <t>L1d</t>
  </si>
  <si>
    <t>%Rfd</t>
  </si>
  <si>
    <t>%Lfd</t>
  </si>
  <si>
    <t>%R1d</t>
  </si>
  <si>
    <t>%L1d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</si>
</sst>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71CB2-772C-4F44-AD6B-8980F75C51D3}">
  <sheetPr codeName="Лист1"/>
  <dimension ref="A1:AW288"/>
  <sheetViews>
    <sheetView tabSelected="1" topLeftCell="K1" zoomScale="70" zoomScaleNormal="70" workbookViewId="0">
      <pane ySplit="1" topLeftCell="A2" activePane="bottomLeft" state="frozen"/>
      <selection activeCell="B1" sqref="B1"/>
      <selection pane="bottomLeft" activeCell="AB38" sqref="AB38"/>
    </sheetView>
  </sheetViews>
  <sheetFormatPr defaultRowHeight="15" x14ac:dyDescent="0.25"/>
  <cols>
    <col min="4" max="4" width="30" customWidth="1"/>
    <col min="6" max="6" width="16.28515625" customWidth="1"/>
    <col min="41" max="43" width="9.28515625" bestFit="1" customWidth="1"/>
    <col min="44" max="44" width="12.5703125" bestFit="1" customWidth="1"/>
  </cols>
  <sheetData>
    <row r="1" spans="1:4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321</v>
      </c>
      <c r="AH1" t="s">
        <v>322</v>
      </c>
      <c r="AJ1" t="s">
        <v>323</v>
      </c>
      <c r="AK1" t="s">
        <v>324</v>
      </c>
      <c r="AL1" t="s">
        <v>325</v>
      </c>
      <c r="AM1" t="s">
        <v>326</v>
      </c>
      <c r="AO1" t="s">
        <v>323</v>
      </c>
      <c r="AP1" t="s">
        <v>324</v>
      </c>
      <c r="AQ1" t="s">
        <v>325</v>
      </c>
      <c r="AR1" t="s">
        <v>326</v>
      </c>
      <c r="AT1" t="s">
        <v>327</v>
      </c>
      <c r="AU1" t="s">
        <v>328</v>
      </c>
      <c r="AV1" t="s">
        <v>329</v>
      </c>
      <c r="AW1" t="s">
        <v>330</v>
      </c>
    </row>
    <row r="2" spans="1:49" x14ac:dyDescent="0.25">
      <c r="A2" t="s">
        <v>31</v>
      </c>
      <c r="B2" t="s">
        <v>31</v>
      </c>
      <c r="C2">
        <v>60211235</v>
      </c>
      <c r="D2" t="s">
        <v>33</v>
      </c>
      <c r="E2">
        <v>60211235</v>
      </c>
      <c r="F2" t="s">
        <v>34</v>
      </c>
      <c r="G2">
        <v>0</v>
      </c>
      <c r="H2">
        <v>1</v>
      </c>
      <c r="I2">
        <v>60211235</v>
      </c>
      <c r="J2">
        <v>0</v>
      </c>
      <c r="K2">
        <v>0</v>
      </c>
      <c r="L2">
        <v>90.7</v>
      </c>
      <c r="M2">
        <v>45.00919658727409</v>
      </c>
      <c r="N2">
        <v>98.37</v>
      </c>
      <c r="O2">
        <v>10.5</v>
      </c>
      <c r="P2">
        <v>0.8</v>
      </c>
      <c r="Q2">
        <v>1</v>
      </c>
      <c r="R2">
        <v>8.1829999999999981</v>
      </c>
      <c r="S2">
        <v>0.233119853613907</v>
      </c>
      <c r="T2">
        <v>1.78336688014639</v>
      </c>
      <c r="U2">
        <v>1.6049405306495901</v>
      </c>
      <c r="V2">
        <v>0.16058371454711801</v>
      </c>
      <c r="W2">
        <v>0.17663311985361396</v>
      </c>
      <c r="X2">
        <v>9.5</v>
      </c>
      <c r="Y2">
        <v>0.03</v>
      </c>
      <c r="Z2">
        <v>0.5</v>
      </c>
      <c r="AA2">
        <v>0</v>
      </c>
      <c r="AB2">
        <v>0.16049405306495901</v>
      </c>
      <c r="AC2">
        <v>0</v>
      </c>
      <c r="AD2">
        <v>0</v>
      </c>
      <c r="AE2">
        <v>0</v>
      </c>
      <c r="AG2">
        <f t="array" ref="AG2:AH2">T1T2(T2,S2,V2,X2,Y2)</f>
        <v>1.2336357128964646</v>
      </c>
      <c r="AH2">
        <v>2.0802653213846729E-2</v>
      </c>
      <c r="AJ2">
        <f t="array" ref="AJ2:AM2">Canay(T2,AB2,S2,V2,AG2,AH2)</f>
        <v>0.19226016871225263</v>
      </c>
      <c r="AK2">
        <v>8.3823579126775752E-2</v>
      </c>
      <c r="AL2">
        <v>2.4854516560290483</v>
      </c>
      <c r="AM2">
        <v>8.9762455382723987E-5</v>
      </c>
      <c r="AO2">
        <f t="array" ref="AO2:AR2">Niipt(T2,AB2,S2,V2,X2,Y2)</f>
        <v>0.1928860041246297</v>
      </c>
      <c r="AP2">
        <v>7.6028165988198865E-2</v>
      </c>
      <c r="AQ2">
        <v>2.2472424181415351</v>
      </c>
      <c r="AR2">
        <v>8.9772312174027466E-5</v>
      </c>
      <c r="AT2">
        <f>IF(AO2&gt;0,(AJ2-AO2)/AJ2*100,0)</f>
        <v>-0.32551485654510615</v>
      </c>
      <c r="AU2" s="1">
        <f t="shared" ref="AU2:AW17" si="0">IF(AP2&gt;0,(AK2-AP2)/AK2*100,0)</f>
        <v>9.2997855970657302</v>
      </c>
      <c r="AV2" s="1">
        <f t="shared" si="0"/>
        <v>9.58414287840524</v>
      </c>
      <c r="AW2" s="1">
        <f t="shared" si="0"/>
        <v>-1.0980973349550829E-2</v>
      </c>
    </row>
    <row r="3" spans="1:49" x14ac:dyDescent="0.25">
      <c r="A3" t="s">
        <v>31</v>
      </c>
      <c r="B3" t="s">
        <v>31</v>
      </c>
      <c r="C3">
        <v>60211243</v>
      </c>
      <c r="D3" t="s">
        <v>35</v>
      </c>
      <c r="E3">
        <v>60211243</v>
      </c>
      <c r="F3" t="s">
        <v>34</v>
      </c>
      <c r="G3">
        <v>0</v>
      </c>
      <c r="H3">
        <v>1</v>
      </c>
      <c r="I3">
        <v>60211243</v>
      </c>
      <c r="J3">
        <v>0</v>
      </c>
      <c r="K3">
        <v>0</v>
      </c>
      <c r="L3">
        <v>8.41</v>
      </c>
      <c r="M3">
        <v>10.4759523809524</v>
      </c>
      <c r="N3">
        <v>8.4</v>
      </c>
      <c r="O3">
        <v>6.3</v>
      </c>
      <c r="P3">
        <v>0.8</v>
      </c>
      <c r="Q3">
        <v>1</v>
      </c>
      <c r="R3">
        <v>4.47</v>
      </c>
      <c r="S3">
        <v>0.71328599999999998</v>
      </c>
      <c r="T3">
        <v>8.0041499999999974</v>
      </c>
      <c r="U3">
        <v>8.0041499999999974</v>
      </c>
      <c r="V3">
        <v>0.44127719999999993</v>
      </c>
      <c r="W3">
        <v>0.76356000000000002</v>
      </c>
      <c r="X3">
        <v>5.8070000000000004</v>
      </c>
      <c r="Y3">
        <v>0.15259999999999999</v>
      </c>
      <c r="Z3">
        <v>0.5</v>
      </c>
      <c r="AA3">
        <v>0</v>
      </c>
      <c r="AB3">
        <v>0.34398000000000001</v>
      </c>
      <c r="AC3">
        <v>0</v>
      </c>
      <c r="AD3">
        <v>0</v>
      </c>
      <c r="AE3">
        <v>0</v>
      </c>
      <c r="AG3">
        <f t="array" ref="AG3:AH3">T1T2(T3,S3,V3,X3,Y3)</f>
        <v>0.45539946959881089</v>
      </c>
      <c r="AH3">
        <v>0.10727786188396662</v>
      </c>
      <c r="AJ3">
        <f t="array" ref="AJ3:AM3">Canay(T3,AB3,S3,V3,AG3,AH3)</f>
        <v>2.6075970559489936</v>
      </c>
      <c r="AK3">
        <v>0.73052275189001303</v>
      </c>
      <c r="AL3">
        <v>2.8353820679288115</v>
      </c>
      <c r="AM3">
        <v>0.11391649606622282</v>
      </c>
      <c r="AO3" s="1">
        <f t="array" ref="AO3:AR3">Niipt(T3,AB3,S3,V3,X3,Y3)</f>
        <v>0</v>
      </c>
      <c r="AP3" s="1">
        <v>0</v>
      </c>
      <c r="AQ3" s="1">
        <v>0</v>
      </c>
      <c r="AR3" s="1">
        <v>0</v>
      </c>
      <c r="AT3" s="1">
        <f t="shared" ref="AT3:AT66" si="1">IF(AO3&gt;0,(AJ3-AO3)/AJ3*100,0)</f>
        <v>0</v>
      </c>
      <c r="AU3" s="1">
        <f t="shared" si="0"/>
        <v>0</v>
      </c>
      <c r="AV3" s="1">
        <f t="shared" si="0"/>
        <v>0</v>
      </c>
      <c r="AW3" s="1">
        <f t="shared" si="0"/>
        <v>0</v>
      </c>
    </row>
    <row r="4" spans="1:49" x14ac:dyDescent="0.25">
      <c r="A4" t="s">
        <v>31</v>
      </c>
      <c r="B4" t="s">
        <v>31</v>
      </c>
      <c r="C4">
        <v>60211244</v>
      </c>
      <c r="D4" t="s">
        <v>36</v>
      </c>
      <c r="E4">
        <v>60211244</v>
      </c>
      <c r="F4" t="s">
        <v>34</v>
      </c>
      <c r="G4">
        <v>0</v>
      </c>
      <c r="H4">
        <v>1</v>
      </c>
      <c r="I4">
        <v>60211244</v>
      </c>
      <c r="J4">
        <v>0</v>
      </c>
      <c r="K4">
        <v>0</v>
      </c>
      <c r="L4">
        <v>11.99</v>
      </c>
      <c r="M4">
        <v>9.2050000000000001</v>
      </c>
      <c r="N4">
        <v>12</v>
      </c>
      <c r="O4">
        <v>6.3</v>
      </c>
      <c r="P4">
        <v>0.8</v>
      </c>
      <c r="Q4">
        <v>1</v>
      </c>
      <c r="R4">
        <v>5.625</v>
      </c>
      <c r="S4">
        <v>0.58899959999999996</v>
      </c>
      <c r="T4">
        <v>5.6063447999999996</v>
      </c>
      <c r="U4">
        <v>5.6063447999999996</v>
      </c>
      <c r="V4">
        <v>0.33789419999999998</v>
      </c>
      <c r="W4">
        <v>0.53449199999999997</v>
      </c>
      <c r="X4">
        <v>5.87</v>
      </c>
      <c r="Y4">
        <v>0.15259999999999999</v>
      </c>
      <c r="Z4">
        <v>0.5</v>
      </c>
      <c r="AA4">
        <v>0</v>
      </c>
      <c r="AB4">
        <v>0.2410506</v>
      </c>
      <c r="AC4">
        <v>0</v>
      </c>
      <c r="AD4">
        <v>0</v>
      </c>
      <c r="AE4">
        <v>0</v>
      </c>
      <c r="AG4">
        <f t="array" ref="AG4:AH4">T1T2(T4,S4,V4,X4,Y4)</f>
        <v>0.54937746110654273</v>
      </c>
      <c r="AH4">
        <v>9.8270401375494934E-2</v>
      </c>
      <c r="AJ4">
        <f t="array" ref="AJ4:AM4">Canay(T4,AB4,S4,V4,AG4,AH4)</f>
        <v>1.4770799129743775</v>
      </c>
      <c r="AK4">
        <v>0.53385849803086594</v>
      </c>
      <c r="AL4">
        <v>2.704184454745874</v>
      </c>
      <c r="AM4">
        <v>0.12097180559070557</v>
      </c>
      <c r="AO4" s="1">
        <f t="array" ref="AO4:AR4">Niipt(T4,AB4,S4,V4,X4,Y4)</f>
        <v>0</v>
      </c>
      <c r="AP4" s="1">
        <v>0</v>
      </c>
      <c r="AQ4" s="1">
        <v>0</v>
      </c>
      <c r="AR4" s="1">
        <v>0</v>
      </c>
      <c r="AT4" s="1">
        <f t="shared" si="1"/>
        <v>0</v>
      </c>
      <c r="AU4" s="1">
        <f t="shared" si="0"/>
        <v>0</v>
      </c>
      <c r="AV4" s="1">
        <f t="shared" si="0"/>
        <v>0</v>
      </c>
      <c r="AW4" s="1">
        <f t="shared" si="0"/>
        <v>0</v>
      </c>
    </row>
    <row r="5" spans="1:49" x14ac:dyDescent="0.25">
      <c r="A5" t="s">
        <v>31</v>
      </c>
      <c r="B5" t="s">
        <v>31</v>
      </c>
      <c r="C5">
        <v>60211234</v>
      </c>
      <c r="D5" t="s">
        <v>37</v>
      </c>
      <c r="E5">
        <v>60211234</v>
      </c>
      <c r="F5" t="s">
        <v>34</v>
      </c>
      <c r="G5">
        <v>0</v>
      </c>
      <c r="H5">
        <v>1</v>
      </c>
      <c r="I5">
        <v>60211234</v>
      </c>
      <c r="J5">
        <v>0</v>
      </c>
      <c r="K5">
        <v>0</v>
      </c>
      <c r="L5">
        <v>26.18</v>
      </c>
      <c r="M5">
        <v>15.738</v>
      </c>
      <c r="N5">
        <v>30</v>
      </c>
      <c r="O5">
        <v>6.3</v>
      </c>
      <c r="P5">
        <v>0.8</v>
      </c>
      <c r="Q5">
        <v>1</v>
      </c>
      <c r="R5">
        <v>9.4079999999999995</v>
      </c>
      <c r="S5">
        <v>0.27518399999999993</v>
      </c>
      <c r="T5">
        <v>2.0638800000000002</v>
      </c>
      <c r="U5">
        <v>2.0638800000000002</v>
      </c>
      <c r="V5">
        <v>0.16087679999999999</v>
      </c>
      <c r="W5">
        <v>0.17675279999999999</v>
      </c>
      <c r="X5">
        <v>10.3</v>
      </c>
      <c r="Y5">
        <v>0.2</v>
      </c>
      <c r="Z5">
        <v>0.5</v>
      </c>
      <c r="AA5">
        <v>0</v>
      </c>
      <c r="AB5">
        <v>0.1344168</v>
      </c>
      <c r="AC5">
        <v>0</v>
      </c>
      <c r="AD5">
        <v>0</v>
      </c>
      <c r="AE5">
        <v>0</v>
      </c>
      <c r="AG5">
        <f t="array" ref="AG5:AH5">T1T2(T5,S5,V5,X5,Y5)</f>
        <v>1.2953971596991174</v>
      </c>
      <c r="AH5">
        <v>0.12395762779938133</v>
      </c>
      <c r="AJ5">
        <f t="array" ref="AJ5:AM5">Canay(T5,AB5,S5,V5,AG5,AH5)</f>
        <v>0.2617304502363656</v>
      </c>
      <c r="AK5">
        <v>0.19604464779136502</v>
      </c>
      <c r="AL5">
        <v>0.82409763403146308</v>
      </c>
      <c r="AM5">
        <v>3.1081250945946066E-2</v>
      </c>
      <c r="AO5" s="1">
        <f t="array" ref="AO5:AR5">Niipt(T5,AB5,S5,V5,X5,Y5)</f>
        <v>0.28469001726712012</v>
      </c>
      <c r="AP5" s="1">
        <v>0.15184532875739637</v>
      </c>
      <c r="AQ5" s="1">
        <v>0.61521421606865012</v>
      </c>
      <c r="AR5" s="1">
        <v>3.2584999999999968E-2</v>
      </c>
      <c r="AT5" s="1">
        <f t="shared" si="1"/>
        <v>-8.7722185210089307</v>
      </c>
      <c r="AU5" s="1">
        <f t="shared" si="0"/>
        <v>22.545537219157609</v>
      </c>
      <c r="AV5" s="1">
        <f t="shared" si="0"/>
        <v>25.346926060321394</v>
      </c>
      <c r="AW5" s="1">
        <f t="shared" si="0"/>
        <v>-4.8381226890420148</v>
      </c>
    </row>
    <row r="6" spans="1:49" x14ac:dyDescent="0.25">
      <c r="A6" t="s">
        <v>31</v>
      </c>
      <c r="B6" t="s">
        <v>31</v>
      </c>
      <c r="C6">
        <v>60211018</v>
      </c>
      <c r="D6" t="s">
        <v>38</v>
      </c>
      <c r="E6">
        <v>60211018</v>
      </c>
      <c r="F6" t="s">
        <v>34</v>
      </c>
      <c r="G6">
        <v>0</v>
      </c>
      <c r="H6">
        <v>1</v>
      </c>
      <c r="I6">
        <v>60211018</v>
      </c>
      <c r="J6">
        <v>0</v>
      </c>
      <c r="K6">
        <v>0</v>
      </c>
      <c r="L6">
        <v>130.97</v>
      </c>
      <c r="M6">
        <v>69.709494253401502</v>
      </c>
      <c r="N6">
        <v>210</v>
      </c>
      <c r="O6">
        <v>15.75</v>
      </c>
      <c r="P6">
        <v>0.85</v>
      </c>
      <c r="Q6">
        <v>1</v>
      </c>
      <c r="R6">
        <v>6.7290000000000001</v>
      </c>
      <c r="S6">
        <v>0.35543812499999994</v>
      </c>
      <c r="T6">
        <v>2.0984906250000002</v>
      </c>
      <c r="U6">
        <v>1.86755625</v>
      </c>
      <c r="V6">
        <v>0.23394656249999998</v>
      </c>
      <c r="W6">
        <v>0.29117812500000001</v>
      </c>
      <c r="X6">
        <v>6.45</v>
      </c>
      <c r="Y6">
        <v>0.02</v>
      </c>
      <c r="Z6">
        <v>0.5</v>
      </c>
      <c r="AA6">
        <v>0</v>
      </c>
      <c r="AB6">
        <v>6.5866499999999981E-2</v>
      </c>
      <c r="AC6">
        <v>0</v>
      </c>
      <c r="AD6">
        <v>0</v>
      </c>
      <c r="AE6">
        <v>0</v>
      </c>
      <c r="AG6">
        <f t="array" ref="AG6:AH6">T1T2(T6,S6,V6,X6,Y6)</f>
        <v>1.0867620079899529</v>
      </c>
      <c r="AH6">
        <v>1.323320065219984E-2</v>
      </c>
      <c r="AJ6">
        <f t="array" ref="AJ6:AM6">Canay(T6,AB6,S6,V6,AG6,AH6)</f>
        <v>0.3706070789763094</v>
      </c>
      <c r="AK6">
        <v>0.33885167869736155</v>
      </c>
      <c r="AL6">
        <v>34.197316582886273</v>
      </c>
      <c r="AM6">
        <v>0.3989743108446257</v>
      </c>
      <c r="AO6" s="1">
        <f t="array" ref="AO6:AR6">Niipt(T6,AB6,S6,V6,X6,Y6)</f>
        <v>0.37042175929343546</v>
      </c>
      <c r="AP6" s="1">
        <v>0.3376778788306451</v>
      </c>
      <c r="AQ6" s="1">
        <v>34.236027954397414</v>
      </c>
      <c r="AR6" s="1">
        <v>0.4006139671487603</v>
      </c>
      <c r="AT6" s="1">
        <f t="shared" si="1"/>
        <v>5.0004355930229692E-2</v>
      </c>
      <c r="AU6" s="1">
        <f t="shared" si="0"/>
        <v>0.34640520927293594</v>
      </c>
      <c r="AV6" s="1">
        <f t="shared" si="0"/>
        <v>-0.11320002672523688</v>
      </c>
      <c r="AW6" s="1">
        <f t="shared" si="0"/>
        <v>-0.41096788930180878</v>
      </c>
    </row>
    <row r="7" spans="1:49" x14ac:dyDescent="0.25">
      <c r="A7" t="s">
        <v>31</v>
      </c>
      <c r="B7" t="s">
        <v>31</v>
      </c>
      <c r="C7">
        <v>60211013</v>
      </c>
      <c r="D7" t="s">
        <v>39</v>
      </c>
      <c r="E7">
        <v>60211013</v>
      </c>
      <c r="F7" t="s">
        <v>34</v>
      </c>
      <c r="G7">
        <v>0</v>
      </c>
      <c r="H7">
        <v>1</v>
      </c>
      <c r="I7">
        <v>60211013</v>
      </c>
      <c r="J7">
        <v>0</v>
      </c>
      <c r="K7">
        <v>0</v>
      </c>
      <c r="L7">
        <v>139.01</v>
      </c>
      <c r="M7">
        <v>55.594125225978594</v>
      </c>
      <c r="N7">
        <v>200</v>
      </c>
      <c r="O7">
        <v>15.75</v>
      </c>
      <c r="P7">
        <v>0.85</v>
      </c>
      <c r="Q7">
        <v>1</v>
      </c>
      <c r="R7">
        <v>7.3979999999999997</v>
      </c>
      <c r="S7">
        <v>0.32893087499999996</v>
      </c>
      <c r="T7">
        <v>2.0368411874999999</v>
      </c>
      <c r="U7">
        <v>1.78170890625</v>
      </c>
      <c r="V7">
        <v>0.20874459374999998</v>
      </c>
      <c r="W7">
        <v>0.32682234374999997</v>
      </c>
      <c r="X7">
        <v>6.45</v>
      </c>
      <c r="Y7">
        <v>0.02</v>
      </c>
      <c r="Z7">
        <v>0.5</v>
      </c>
      <c r="AA7">
        <v>0</v>
      </c>
      <c r="AB7">
        <v>6.2834231249999983E-2</v>
      </c>
      <c r="AC7">
        <v>0</v>
      </c>
      <c r="AD7">
        <v>0</v>
      </c>
      <c r="AE7">
        <v>0</v>
      </c>
      <c r="AG7">
        <f t="array" ref="AG7:AH7">T1T2(T7,S7,V7,X7,Y7)</f>
        <v>1.0354314577985748</v>
      </c>
      <c r="AH7">
        <v>1.2768104344171621E-2</v>
      </c>
      <c r="AJ7">
        <f t="array" ref="AJ7:AM7">Canay(T7,AB7,S7,V7,AG7,AH7)</f>
        <v>0.35717623796448467</v>
      </c>
      <c r="AK7">
        <v>0.30881128381317952</v>
      </c>
      <c r="AL7">
        <v>29.167719554574902</v>
      </c>
      <c r="AM7">
        <v>0.32167628268522058</v>
      </c>
      <c r="AO7" s="1">
        <f t="array" ref="AO7:AR7">Niipt(T7,AB7,S7,V7,X7,Y7)</f>
        <v>0.35697908032164422</v>
      </c>
      <c r="AP7" s="1">
        <v>0.30755515787499993</v>
      </c>
      <c r="AQ7" s="1">
        <v>29.189302420122534</v>
      </c>
      <c r="AR7" s="1">
        <v>0.32305066223684203</v>
      </c>
      <c r="AT7" s="1">
        <f t="shared" si="1"/>
        <v>5.5198980750800951E-2</v>
      </c>
      <c r="AU7" s="1">
        <f t="shared" si="0"/>
        <v>0.40676167096908949</v>
      </c>
      <c r="AV7" s="1">
        <f t="shared" si="0"/>
        <v>-7.3995724990598352E-2</v>
      </c>
      <c r="AW7" s="1">
        <f t="shared" si="0"/>
        <v>-0.42725548186167156</v>
      </c>
    </row>
    <row r="8" spans="1:49" x14ac:dyDescent="0.25">
      <c r="A8" t="s">
        <v>31</v>
      </c>
      <c r="B8" t="s">
        <v>31</v>
      </c>
      <c r="C8">
        <v>60211014</v>
      </c>
      <c r="D8" t="s">
        <v>40</v>
      </c>
      <c r="E8">
        <v>60211014</v>
      </c>
      <c r="F8" t="s">
        <v>34</v>
      </c>
      <c r="G8">
        <v>0</v>
      </c>
      <c r="H8">
        <v>1</v>
      </c>
      <c r="I8">
        <v>60211014</v>
      </c>
      <c r="J8">
        <v>0</v>
      </c>
      <c r="K8">
        <v>0</v>
      </c>
      <c r="L8">
        <v>130.47999999999999</v>
      </c>
      <c r="M8">
        <v>54.590891176321392</v>
      </c>
      <c r="N8">
        <v>190</v>
      </c>
      <c r="O8">
        <v>15.75</v>
      </c>
      <c r="P8">
        <v>0.85</v>
      </c>
      <c r="Q8">
        <v>1</v>
      </c>
      <c r="R8">
        <v>7.044999999999999</v>
      </c>
      <c r="S8">
        <v>0.392852664473684</v>
      </c>
      <c r="T8">
        <v>2.3082868421052596</v>
      </c>
      <c r="U8">
        <v>2.0641411184210501</v>
      </c>
      <c r="V8">
        <v>0.25857251644736801</v>
      </c>
      <c r="W8">
        <v>0.32182845394736798</v>
      </c>
      <c r="X8">
        <v>6.45</v>
      </c>
      <c r="Y8">
        <v>0.02</v>
      </c>
      <c r="Z8">
        <v>0.5</v>
      </c>
      <c r="AA8">
        <v>0</v>
      </c>
      <c r="AB8">
        <v>7.2799815789473699E-2</v>
      </c>
      <c r="AC8">
        <v>0</v>
      </c>
      <c r="AD8">
        <v>0</v>
      </c>
      <c r="AE8">
        <v>0</v>
      </c>
      <c r="AG8">
        <f t="array" ref="AG8:AH8">T1T2(T8,S8,V8,X8,Y8)</f>
        <v>1.0920201430351262</v>
      </c>
      <c r="AH8">
        <v>1.3232796905254472E-2</v>
      </c>
      <c r="AJ8">
        <f t="array" ref="AJ8:AM8">Canay(T8,AB8,S8,V8,AG8,AH8)</f>
        <v>0.40791240130585554</v>
      </c>
      <c r="AK8">
        <v>0.37482280201964852</v>
      </c>
      <c r="AL8">
        <v>37.799036618149813</v>
      </c>
      <c r="AM8">
        <v>0.440982228945698</v>
      </c>
      <c r="AO8" s="1">
        <f t="array" ref="AO8:AR8">Niipt(T8,AB8,S8,V8,X8,Y8)</f>
        <v>0.4077084896162424</v>
      </c>
      <c r="AP8" s="1">
        <v>0.37353097241568561</v>
      </c>
      <c r="AQ8" s="1">
        <v>37.841574047467908</v>
      </c>
      <c r="AR8" s="1">
        <v>0.44278385842757506</v>
      </c>
      <c r="AT8" s="1">
        <f t="shared" si="1"/>
        <v>4.998908808860926E-2</v>
      </c>
      <c r="AU8" s="1">
        <f t="shared" si="0"/>
        <v>0.34465075150235475</v>
      </c>
      <c r="AV8" s="1">
        <f t="shared" si="0"/>
        <v>-0.11253574991292262</v>
      </c>
      <c r="AW8" s="1">
        <f t="shared" si="0"/>
        <v>-0.40854922571016244</v>
      </c>
    </row>
    <row r="9" spans="1:49" x14ac:dyDescent="0.25">
      <c r="A9" t="s">
        <v>31</v>
      </c>
      <c r="B9" t="s">
        <v>32</v>
      </c>
      <c r="C9">
        <v>60211015</v>
      </c>
      <c r="D9" t="s">
        <v>41</v>
      </c>
      <c r="E9">
        <v>60211015</v>
      </c>
      <c r="F9" t="s">
        <v>34</v>
      </c>
      <c r="G9">
        <v>0</v>
      </c>
      <c r="H9">
        <v>1</v>
      </c>
      <c r="I9">
        <v>60211015</v>
      </c>
      <c r="J9">
        <v>0</v>
      </c>
      <c r="K9">
        <v>0</v>
      </c>
      <c r="L9">
        <v>0</v>
      </c>
      <c r="M9">
        <v>0</v>
      </c>
      <c r="N9">
        <v>170</v>
      </c>
      <c r="O9">
        <v>15.75</v>
      </c>
      <c r="P9">
        <v>0.85</v>
      </c>
      <c r="Q9">
        <v>1</v>
      </c>
      <c r="R9">
        <v>6.306</v>
      </c>
      <c r="S9">
        <v>0.46883812499999994</v>
      </c>
      <c r="T9">
        <v>2.7696178124999995</v>
      </c>
      <c r="U9">
        <v>2.3814000000000002</v>
      </c>
      <c r="V9">
        <v>0.30883781249999998</v>
      </c>
      <c r="W9">
        <v>0.30908587500000001</v>
      </c>
      <c r="X9">
        <v>6.48</v>
      </c>
      <c r="Y9">
        <v>0.02</v>
      </c>
      <c r="Z9">
        <v>0.5</v>
      </c>
      <c r="AA9">
        <v>0</v>
      </c>
      <c r="AB9">
        <v>0.23333626968749999</v>
      </c>
      <c r="AC9">
        <v>0</v>
      </c>
      <c r="AD9">
        <v>0</v>
      </c>
      <c r="AE9">
        <v>0</v>
      </c>
      <c r="AG9">
        <f t="array" ref="AG9:AH9">T1T2(T9,S9,V9,X9,Y9)</f>
        <v>1.0912104520564303</v>
      </c>
      <c r="AH9">
        <v>1.3243632117238445E-2</v>
      </c>
      <c r="AJ9">
        <f t="array" ref="AJ9:AM9">Canay(T9,AB9,S9,V9,AG9,AH9)</f>
        <v>0.44154094302592972</v>
      </c>
      <c r="AK9">
        <v>0.26565531727966074</v>
      </c>
      <c r="AL9">
        <v>17.163327151780315</v>
      </c>
      <c r="AM9">
        <v>0.11005690993649617</v>
      </c>
      <c r="AO9" s="1">
        <f t="array" ref="AO9:AR9">Niipt(T9,AB9,S9,V9,X9,Y9)</f>
        <v>0.44071567547346335</v>
      </c>
      <c r="AP9" s="1">
        <v>0.25960721583743268</v>
      </c>
      <c r="AQ9" s="1">
        <v>16.967748699856958</v>
      </c>
      <c r="AR9" s="1">
        <v>0.11112949177083574</v>
      </c>
      <c r="AT9" s="1">
        <f t="shared" si="1"/>
        <v>0.18690623497126169</v>
      </c>
      <c r="AU9" s="1">
        <f t="shared" si="0"/>
        <v>2.2766724581917934</v>
      </c>
      <c r="AV9" s="1">
        <f t="shared" si="0"/>
        <v>1.1395136280617353</v>
      </c>
      <c r="AW9" s="1">
        <f t="shared" si="0"/>
        <v>-0.97457018824030417</v>
      </c>
    </row>
    <row r="10" spans="1:49" x14ac:dyDescent="0.25">
      <c r="A10" t="s">
        <v>31</v>
      </c>
      <c r="B10" t="s">
        <v>31</v>
      </c>
      <c r="C10">
        <v>60211017</v>
      </c>
      <c r="D10" t="s">
        <v>42</v>
      </c>
      <c r="E10">
        <v>60211017</v>
      </c>
      <c r="F10" t="s">
        <v>34</v>
      </c>
      <c r="G10">
        <v>0</v>
      </c>
      <c r="H10">
        <v>1</v>
      </c>
      <c r="I10">
        <v>60211017</v>
      </c>
      <c r="J10">
        <v>0</v>
      </c>
      <c r="K10">
        <v>0</v>
      </c>
      <c r="L10">
        <v>0</v>
      </c>
      <c r="M10">
        <v>-22.672719383266802</v>
      </c>
      <c r="N10">
        <v>210</v>
      </c>
      <c r="O10">
        <v>15.75</v>
      </c>
      <c r="P10">
        <v>0.85</v>
      </c>
      <c r="Q10">
        <v>1</v>
      </c>
      <c r="R10">
        <v>6.7290000000000001</v>
      </c>
      <c r="S10">
        <v>0.35543812499999994</v>
      </c>
      <c r="T10">
        <v>2.0984906250000002</v>
      </c>
      <c r="U10">
        <v>1.86755625</v>
      </c>
      <c r="V10">
        <v>0.23394656249999998</v>
      </c>
      <c r="W10">
        <v>0.29117812500000001</v>
      </c>
      <c r="X10">
        <v>6.45</v>
      </c>
      <c r="Y10">
        <v>0.02</v>
      </c>
      <c r="Z10">
        <v>0.5</v>
      </c>
      <c r="AA10">
        <v>0</v>
      </c>
      <c r="AB10">
        <v>6.5866499999999981E-2</v>
      </c>
      <c r="AC10">
        <v>0</v>
      </c>
      <c r="AD10">
        <v>0</v>
      </c>
      <c r="AE10">
        <v>0</v>
      </c>
      <c r="AG10">
        <f t="array" ref="AG10:AH10">T1T2(T10,S10,V10,X10,Y10)</f>
        <v>1.0867620079899529</v>
      </c>
      <c r="AH10">
        <v>1.323320065219984E-2</v>
      </c>
      <c r="AJ10">
        <f t="array" ref="AJ10:AM10">Canay(T10,AB10,S10,V10,AG10,AH10)</f>
        <v>0.3706070789763094</v>
      </c>
      <c r="AK10">
        <v>0.33885167869736155</v>
      </c>
      <c r="AL10">
        <v>34.197316582886273</v>
      </c>
      <c r="AM10">
        <v>0.3989743108446257</v>
      </c>
      <c r="AO10" s="1">
        <f t="array" ref="AO10:AR10">Niipt(T10,AB10,S10,V10,X10,Y10)</f>
        <v>0.37042175929343546</v>
      </c>
      <c r="AP10" s="1">
        <v>0.3376778788306451</v>
      </c>
      <c r="AQ10" s="1">
        <v>34.236027954397414</v>
      </c>
      <c r="AR10" s="1">
        <v>0.4006139671487603</v>
      </c>
      <c r="AT10" s="1">
        <f t="shared" si="1"/>
        <v>5.0004355930229692E-2</v>
      </c>
      <c r="AU10" s="1">
        <f t="shared" si="0"/>
        <v>0.34640520927293594</v>
      </c>
      <c r="AV10" s="1">
        <f t="shared" si="0"/>
        <v>-0.11320002672523688</v>
      </c>
      <c r="AW10" s="1">
        <f t="shared" si="0"/>
        <v>-0.41096788930180878</v>
      </c>
    </row>
    <row r="11" spans="1:49" x14ac:dyDescent="0.25">
      <c r="A11" t="s">
        <v>31</v>
      </c>
      <c r="B11" t="s">
        <v>32</v>
      </c>
      <c r="C11">
        <v>60211016</v>
      </c>
      <c r="D11" t="s">
        <v>43</v>
      </c>
      <c r="E11">
        <v>60211016</v>
      </c>
      <c r="F11" t="s">
        <v>34</v>
      </c>
      <c r="G11">
        <v>0</v>
      </c>
      <c r="H11">
        <v>1</v>
      </c>
      <c r="I11">
        <v>60211016</v>
      </c>
      <c r="J11">
        <v>0</v>
      </c>
      <c r="K11">
        <v>0</v>
      </c>
      <c r="L11">
        <v>0</v>
      </c>
      <c r="M11">
        <v>0</v>
      </c>
      <c r="N11">
        <v>210</v>
      </c>
      <c r="O11">
        <v>15.75</v>
      </c>
      <c r="P11">
        <v>0.85</v>
      </c>
      <c r="Q11">
        <v>1</v>
      </c>
      <c r="R11">
        <v>7.044999999999999</v>
      </c>
      <c r="S11">
        <v>0.34138124999999997</v>
      </c>
      <c r="T11">
        <v>2.0081250000000002</v>
      </c>
      <c r="U11">
        <v>1.78723125</v>
      </c>
      <c r="V11">
        <v>0.22591406249999998</v>
      </c>
      <c r="W11">
        <v>0.28113749999999993</v>
      </c>
      <c r="X11">
        <v>6.4859999999999998</v>
      </c>
      <c r="Y11">
        <v>0.02</v>
      </c>
      <c r="Z11">
        <v>0.5</v>
      </c>
      <c r="AA11">
        <v>0</v>
      </c>
      <c r="AB11">
        <v>6.2954718749999986E-2</v>
      </c>
      <c r="AC11">
        <v>0</v>
      </c>
      <c r="AD11">
        <v>0</v>
      </c>
      <c r="AE11">
        <v>0</v>
      </c>
      <c r="AG11">
        <f t="array" ref="AG11:AH11">T1T2(T11,S11,V11,X11,Y11)</f>
        <v>1.0969587706576702</v>
      </c>
      <c r="AH11">
        <v>1.3303599360667502E-2</v>
      </c>
      <c r="AJ11">
        <f t="array" ref="AJ11:AM11">Canay(T11,AB11,S11,V11,AG11,AH11)</f>
        <v>0.35290367134304701</v>
      </c>
      <c r="AK11">
        <v>0.32603651501482406</v>
      </c>
      <c r="AL11">
        <v>33.269443671067044</v>
      </c>
      <c r="AM11">
        <v>0.39134884297730776</v>
      </c>
      <c r="AO11" s="1">
        <f t="array" ref="AO11:AR11">Niipt(T11,AB11,S11,V11,X11,Y11)</f>
        <v>0.35273093631889196</v>
      </c>
      <c r="AP11" s="1">
        <v>0.32493718011483419</v>
      </c>
      <c r="AQ11" s="1">
        <v>33.308768102085359</v>
      </c>
      <c r="AR11" s="1">
        <v>0.39294457410326095</v>
      </c>
      <c r="AT11" s="1">
        <f t="shared" si="1"/>
        <v>4.8946791484959014E-2</v>
      </c>
      <c r="AU11" s="1">
        <f t="shared" si="0"/>
        <v>0.33718152702616261</v>
      </c>
      <c r="AV11" s="1">
        <f t="shared" si="0"/>
        <v>-0.11819984550121487</v>
      </c>
      <c r="AW11" s="1">
        <f t="shared" si="0"/>
        <v>-0.40775158904601883</v>
      </c>
    </row>
    <row r="12" spans="1:49" x14ac:dyDescent="0.25">
      <c r="A12" t="s">
        <v>31</v>
      </c>
      <c r="B12" t="s">
        <v>31</v>
      </c>
      <c r="C12">
        <v>60211062</v>
      </c>
      <c r="D12" t="s">
        <v>44</v>
      </c>
      <c r="E12">
        <v>60211062</v>
      </c>
      <c r="F12" t="s">
        <v>34</v>
      </c>
      <c r="G12">
        <v>0</v>
      </c>
      <c r="H12">
        <v>1</v>
      </c>
      <c r="I12">
        <v>60211062</v>
      </c>
      <c r="J12">
        <v>0</v>
      </c>
      <c r="K12">
        <v>0</v>
      </c>
      <c r="L12">
        <v>7.63</v>
      </c>
      <c r="M12">
        <v>7.2761987202622498</v>
      </c>
      <c r="N12">
        <v>12</v>
      </c>
      <c r="O12">
        <v>6.3</v>
      </c>
      <c r="P12">
        <v>0.8</v>
      </c>
      <c r="Q12">
        <v>1</v>
      </c>
      <c r="R12">
        <v>5.94</v>
      </c>
      <c r="S12">
        <v>0.49930020000000003</v>
      </c>
      <c r="T12">
        <v>4.9480199999999988</v>
      </c>
      <c r="U12">
        <v>4.9480199999999988</v>
      </c>
      <c r="V12">
        <v>0.30429</v>
      </c>
      <c r="W12">
        <v>0.40880699999999998</v>
      </c>
      <c r="X12">
        <v>5.8070000000000004</v>
      </c>
      <c r="Y12">
        <v>0.51800000000000002</v>
      </c>
      <c r="Z12">
        <v>6.4999999999999988E-2</v>
      </c>
      <c r="AA12">
        <v>0</v>
      </c>
      <c r="AB12">
        <v>0.23020199999999999</v>
      </c>
      <c r="AC12">
        <v>0</v>
      </c>
      <c r="AD12">
        <v>0</v>
      </c>
      <c r="AE12">
        <v>0</v>
      </c>
      <c r="AG12">
        <f t="array" ref="AG12:AH12">T1T2(T12,S12,V12,X12,Y12)</f>
        <v>0.58597909090909095</v>
      </c>
      <c r="AH12">
        <v>0.31568627450980391</v>
      </c>
      <c r="AJ12">
        <f t="array" ref="AJ12:AM12">Canay(T12,AB12,S12,V12,AG12,AH12)</f>
        <v>4.0477022051771536</v>
      </c>
      <c r="AK12">
        <v>1.7902027712141524</v>
      </c>
      <c r="AL12">
        <v>0.7356692858942292</v>
      </c>
      <c r="AM12">
        <v>7.8573704084448429E-2</v>
      </c>
      <c r="AO12" s="1">
        <f t="array" ref="AO12:AR12">Niipt(T12,AB12,S12,V12,X12,Y12)</f>
        <v>0</v>
      </c>
      <c r="AP12" s="1">
        <v>0</v>
      </c>
      <c r="AQ12" s="1">
        <v>0</v>
      </c>
      <c r="AR12" s="1">
        <v>0</v>
      </c>
      <c r="AT12" s="1">
        <f t="shared" si="1"/>
        <v>0</v>
      </c>
      <c r="AU12" s="1">
        <f t="shared" si="0"/>
        <v>0</v>
      </c>
      <c r="AV12" s="1">
        <f t="shared" si="0"/>
        <v>0</v>
      </c>
      <c r="AW12" s="1">
        <f t="shared" si="0"/>
        <v>0</v>
      </c>
    </row>
    <row r="13" spans="1:49" x14ac:dyDescent="0.25">
      <c r="A13" t="s">
        <v>31</v>
      </c>
      <c r="B13" t="s">
        <v>31</v>
      </c>
      <c r="C13">
        <v>60211068</v>
      </c>
      <c r="D13" t="s">
        <v>45</v>
      </c>
      <c r="E13">
        <v>60211068</v>
      </c>
      <c r="F13" t="s">
        <v>34</v>
      </c>
      <c r="G13">
        <v>0</v>
      </c>
      <c r="H13">
        <v>1</v>
      </c>
      <c r="I13">
        <v>60211068</v>
      </c>
      <c r="J13">
        <v>0</v>
      </c>
      <c r="K13">
        <v>0</v>
      </c>
      <c r="L13">
        <v>7.63</v>
      </c>
      <c r="M13">
        <v>3</v>
      </c>
      <c r="N13">
        <v>12</v>
      </c>
      <c r="O13">
        <v>6.3</v>
      </c>
      <c r="P13">
        <v>0.8</v>
      </c>
      <c r="Q13">
        <v>1</v>
      </c>
      <c r="R13">
        <v>4.47</v>
      </c>
      <c r="S13">
        <v>0.49930020000000003</v>
      </c>
      <c r="T13">
        <v>5.6068740000000004</v>
      </c>
      <c r="U13">
        <v>5.6068740000000004</v>
      </c>
      <c r="V13">
        <v>0.33789419999999998</v>
      </c>
      <c r="W13">
        <v>0.53343359999999984</v>
      </c>
      <c r="X13">
        <v>5.8070000000000004</v>
      </c>
      <c r="Y13">
        <v>0.51800000000000002</v>
      </c>
      <c r="Z13">
        <v>6.4999999999999988E-2</v>
      </c>
      <c r="AA13">
        <v>0</v>
      </c>
      <c r="AB13">
        <v>0.2410506</v>
      </c>
      <c r="AC13">
        <v>0</v>
      </c>
      <c r="AD13">
        <v>0</v>
      </c>
      <c r="AE13">
        <v>0</v>
      </c>
      <c r="AG13">
        <f t="array" ref="AG13:AH13">T1T2(T13,S13,V13,X13,Y13)</f>
        <v>0.51712170835299665</v>
      </c>
      <c r="AH13">
        <v>0.35054901960784307</v>
      </c>
      <c r="AJ13">
        <f t="array" ref="AJ13:AM13">Canay(T13,AB13,S13,V13,AG13,AH13)</f>
        <v>9.96466076515709</v>
      </c>
      <c r="AK13">
        <v>4.1315570713294765</v>
      </c>
      <c r="AL13">
        <v>0.77162904244233821</v>
      </c>
      <c r="AM13">
        <v>0.10103537625799391</v>
      </c>
      <c r="AO13" s="1">
        <f t="array" ref="AO13:AR13">Niipt(T13,AB13,S13,V13,X13,Y13)</f>
        <v>0</v>
      </c>
      <c r="AP13" s="1">
        <v>0</v>
      </c>
      <c r="AQ13" s="1">
        <v>0</v>
      </c>
      <c r="AR13" s="1">
        <v>0</v>
      </c>
      <c r="AT13" s="1">
        <f t="shared" si="1"/>
        <v>0</v>
      </c>
      <c r="AU13" s="1">
        <f t="shared" si="0"/>
        <v>0</v>
      </c>
      <c r="AV13" s="1">
        <f t="shared" si="0"/>
        <v>0</v>
      </c>
      <c r="AW13" s="1">
        <f t="shared" si="0"/>
        <v>0</v>
      </c>
    </row>
    <row r="14" spans="1:49" x14ac:dyDescent="0.25">
      <c r="A14" t="s">
        <v>31</v>
      </c>
      <c r="B14" t="s">
        <v>31</v>
      </c>
      <c r="C14">
        <v>60211047</v>
      </c>
      <c r="D14" t="s">
        <v>46</v>
      </c>
      <c r="E14">
        <v>60211047</v>
      </c>
      <c r="F14" t="s">
        <v>34</v>
      </c>
      <c r="G14">
        <v>0</v>
      </c>
      <c r="H14">
        <v>1</v>
      </c>
      <c r="I14">
        <v>60211047</v>
      </c>
      <c r="J14">
        <v>0</v>
      </c>
      <c r="K14">
        <v>0</v>
      </c>
      <c r="L14">
        <v>7.63</v>
      </c>
      <c r="M14">
        <v>9.3699999999999974</v>
      </c>
      <c r="N14">
        <v>12</v>
      </c>
      <c r="O14">
        <v>6.3</v>
      </c>
      <c r="P14">
        <v>0.8</v>
      </c>
      <c r="Q14">
        <v>1</v>
      </c>
      <c r="R14">
        <v>8.0879999999999992</v>
      </c>
      <c r="S14">
        <v>0.49930020000000003</v>
      </c>
      <c r="T14">
        <v>4.9480199999999988</v>
      </c>
      <c r="U14">
        <v>4.9480199999999988</v>
      </c>
      <c r="V14">
        <v>0.30429</v>
      </c>
      <c r="W14">
        <v>0.40880699999999998</v>
      </c>
      <c r="X14">
        <v>5.8070000000000004</v>
      </c>
      <c r="Y14">
        <v>0.51800000000000002</v>
      </c>
      <c r="Z14">
        <v>6.4999999999999988E-2</v>
      </c>
      <c r="AA14">
        <v>0</v>
      </c>
      <c r="AB14">
        <v>0.23020199999999999</v>
      </c>
      <c r="AC14">
        <v>0</v>
      </c>
      <c r="AD14">
        <v>0</v>
      </c>
      <c r="AE14">
        <v>0</v>
      </c>
      <c r="AG14">
        <f t="array" ref="AG14:AH14">T1T2(T14,S14,V14,X14,Y14)</f>
        <v>0.58597909090909095</v>
      </c>
      <c r="AH14">
        <v>0.31568627450980391</v>
      </c>
      <c r="AJ14">
        <f t="array" ref="AJ14:AM14">Canay(T14,AB14,S14,V14,AG14,AH14)</f>
        <v>4.0477022051771536</v>
      </c>
      <c r="AK14">
        <v>1.7902027712141524</v>
      </c>
      <c r="AL14">
        <v>0.7356692858942292</v>
      </c>
      <c r="AM14">
        <v>7.8573704084448429E-2</v>
      </c>
      <c r="AO14" s="1">
        <f t="array" ref="AO14:AR14">Niipt(T14,AB14,S14,V14,X14,Y14)</f>
        <v>0</v>
      </c>
      <c r="AP14" s="1">
        <v>0</v>
      </c>
      <c r="AQ14" s="1">
        <v>0</v>
      </c>
      <c r="AR14" s="1">
        <v>0</v>
      </c>
      <c r="AT14" s="1">
        <f t="shared" si="1"/>
        <v>0</v>
      </c>
      <c r="AU14" s="1">
        <f t="shared" si="0"/>
        <v>0</v>
      </c>
      <c r="AV14" s="1">
        <f t="shared" si="0"/>
        <v>0</v>
      </c>
      <c r="AW14" s="1">
        <f t="shared" si="0"/>
        <v>0</v>
      </c>
    </row>
    <row r="15" spans="1:49" x14ac:dyDescent="0.25">
      <c r="A15" t="s">
        <v>31</v>
      </c>
      <c r="B15" t="s">
        <v>31</v>
      </c>
      <c r="C15">
        <v>61190094</v>
      </c>
      <c r="D15" t="s">
        <v>47</v>
      </c>
      <c r="E15">
        <v>61190094</v>
      </c>
      <c r="F15" t="s">
        <v>34</v>
      </c>
      <c r="G15">
        <v>0</v>
      </c>
      <c r="H15">
        <v>1</v>
      </c>
      <c r="I15">
        <v>61190094</v>
      </c>
      <c r="J15">
        <v>0</v>
      </c>
      <c r="K15">
        <v>0</v>
      </c>
      <c r="L15">
        <v>54.88</v>
      </c>
      <c r="M15">
        <v>28.072814073587999</v>
      </c>
      <c r="N15">
        <v>107</v>
      </c>
      <c r="O15">
        <v>13.8</v>
      </c>
      <c r="P15">
        <v>0.85</v>
      </c>
      <c r="Q15">
        <v>1</v>
      </c>
      <c r="R15">
        <v>8.6352899999999995</v>
      </c>
      <c r="S15">
        <v>0.52949439252336494</v>
      </c>
      <c r="T15">
        <v>1.21027289719626</v>
      </c>
      <c r="U15">
        <v>0.90770467289719603</v>
      </c>
      <c r="V15">
        <v>0.33282504672897201</v>
      </c>
      <c r="W15">
        <v>0.34795345794392502</v>
      </c>
      <c r="X15">
        <v>5.03</v>
      </c>
      <c r="Y15">
        <v>7.4999999999999983E-2</v>
      </c>
      <c r="Z15">
        <v>0.5</v>
      </c>
      <c r="AA15">
        <v>0</v>
      </c>
      <c r="AB15">
        <v>0.22692616822429901</v>
      </c>
      <c r="AC15">
        <v>0</v>
      </c>
      <c r="AD15">
        <v>0</v>
      </c>
      <c r="AE15">
        <v>0</v>
      </c>
      <c r="AG15">
        <f t="array" ref="AG15:AH15">T1T2(T15,S15,V15,X15,Y15)</f>
        <v>2.1845997129244976</v>
      </c>
      <c r="AH15">
        <v>4.7488676935290623E-2</v>
      </c>
      <c r="AJ15">
        <f t="array" ref="AJ15:AM15">Canay(T15,AB15,S15,V15,AG15,AH15)</f>
        <v>0.29133512564263442</v>
      </c>
      <c r="AK15">
        <v>0.44946458419024893</v>
      </c>
      <c r="AL15">
        <v>6.1237202518593046</v>
      </c>
      <c r="AM15">
        <v>0.16125999698030463</v>
      </c>
      <c r="AO15" s="1">
        <f t="array" ref="AO15:AR15">Niipt(T15,AB15,S15,V15,X15,Y15)</f>
        <v>0.28893018781778446</v>
      </c>
      <c r="AP15" s="1">
        <v>0.43704299065420693</v>
      </c>
      <c r="AQ15" s="1">
        <v>6.0659009138382594</v>
      </c>
      <c r="AR15" s="1">
        <v>0.16292135154565068</v>
      </c>
      <c r="AT15" s="1">
        <f t="shared" si="1"/>
        <v>0.82548845407675753</v>
      </c>
      <c r="AU15" s="1">
        <f t="shared" si="0"/>
        <v>2.7636423364525196</v>
      </c>
      <c r="AV15" s="1">
        <f t="shared" si="0"/>
        <v>0.94418646905841142</v>
      </c>
      <c r="AW15" s="1">
        <f t="shared" si="0"/>
        <v>-1.0302335337070356</v>
      </c>
    </row>
    <row r="16" spans="1:49" x14ac:dyDescent="0.25">
      <c r="A16" t="s">
        <v>31</v>
      </c>
      <c r="B16" t="s">
        <v>31</v>
      </c>
      <c r="C16">
        <v>61190096</v>
      </c>
      <c r="D16" t="s">
        <v>48</v>
      </c>
      <c r="E16">
        <v>61190096</v>
      </c>
      <c r="F16" t="s">
        <v>34</v>
      </c>
      <c r="G16">
        <v>0</v>
      </c>
      <c r="H16">
        <v>1</v>
      </c>
      <c r="I16">
        <v>61190096</v>
      </c>
      <c r="J16">
        <v>0</v>
      </c>
      <c r="K16">
        <v>0</v>
      </c>
      <c r="L16">
        <v>56.02</v>
      </c>
      <c r="M16">
        <v>33.802957857402703</v>
      </c>
      <c r="N16">
        <v>107</v>
      </c>
      <c r="O16">
        <v>13.8</v>
      </c>
      <c r="P16">
        <v>0.85</v>
      </c>
      <c r="Q16">
        <v>1</v>
      </c>
      <c r="R16">
        <v>8.6352899999999995</v>
      </c>
      <c r="S16">
        <v>0.52949439252336494</v>
      </c>
      <c r="T16">
        <v>1.21027289719626</v>
      </c>
      <c r="U16">
        <v>0.90770467289719603</v>
      </c>
      <c r="V16">
        <v>0.33282504672897201</v>
      </c>
      <c r="W16">
        <v>0.34795345794392502</v>
      </c>
      <c r="X16">
        <v>5.03</v>
      </c>
      <c r="Y16">
        <v>7.4999999999999983E-2</v>
      </c>
      <c r="Z16">
        <v>0.5</v>
      </c>
      <c r="AA16">
        <v>0</v>
      </c>
      <c r="AB16">
        <v>0.22692616822429901</v>
      </c>
      <c r="AC16">
        <v>0</v>
      </c>
      <c r="AD16">
        <v>0</v>
      </c>
      <c r="AE16">
        <v>0</v>
      </c>
      <c r="AG16">
        <f t="array" ref="AG16:AH16">T1T2(T16,S16,V16,X16,Y16)</f>
        <v>2.1845997129244976</v>
      </c>
      <c r="AH16">
        <v>4.7488676935290623E-2</v>
      </c>
      <c r="AJ16">
        <f t="array" ref="AJ16:AM16">Canay(T16,AB16,S16,V16,AG16,AH16)</f>
        <v>0.29133512564263442</v>
      </c>
      <c r="AK16">
        <v>0.44946458419024893</v>
      </c>
      <c r="AL16">
        <v>6.1237202518593046</v>
      </c>
      <c r="AM16">
        <v>0.16125999698030463</v>
      </c>
      <c r="AO16" s="1">
        <f t="array" ref="AO16:AR16">Niipt(T16,AB16,S16,V16,X16,Y16)</f>
        <v>0.28893018781778446</v>
      </c>
      <c r="AP16" s="1">
        <v>0.43704299065420693</v>
      </c>
      <c r="AQ16" s="1">
        <v>6.0659009138382594</v>
      </c>
      <c r="AR16" s="1">
        <v>0.16292135154565068</v>
      </c>
      <c r="AT16" s="1">
        <f t="shared" si="1"/>
        <v>0.82548845407675753</v>
      </c>
      <c r="AU16" s="1">
        <f t="shared" si="0"/>
        <v>2.7636423364525196</v>
      </c>
      <c r="AV16" s="1">
        <f t="shared" si="0"/>
        <v>0.94418646905841142</v>
      </c>
      <c r="AW16" s="1">
        <f t="shared" si="0"/>
        <v>-1.0302335337070356</v>
      </c>
    </row>
    <row r="17" spans="1:49" x14ac:dyDescent="0.25">
      <c r="A17" t="s">
        <v>31</v>
      </c>
      <c r="B17" t="s">
        <v>31</v>
      </c>
      <c r="C17">
        <v>61190095</v>
      </c>
      <c r="D17" t="s">
        <v>49</v>
      </c>
      <c r="E17">
        <v>61190095</v>
      </c>
      <c r="F17" t="s">
        <v>34</v>
      </c>
      <c r="G17">
        <v>0</v>
      </c>
      <c r="H17">
        <v>1</v>
      </c>
      <c r="I17">
        <v>61190095</v>
      </c>
      <c r="J17">
        <v>0</v>
      </c>
      <c r="K17">
        <v>0</v>
      </c>
      <c r="L17">
        <v>55.47</v>
      </c>
      <c r="M17">
        <v>32.153163380456192</v>
      </c>
      <c r="N17">
        <v>107</v>
      </c>
      <c r="O17">
        <v>13.8</v>
      </c>
      <c r="P17">
        <v>0.85</v>
      </c>
      <c r="Q17">
        <v>1</v>
      </c>
      <c r="R17">
        <v>8.6352899999999995</v>
      </c>
      <c r="S17">
        <v>0.52949439252336494</v>
      </c>
      <c r="T17">
        <v>1.21027289719626</v>
      </c>
      <c r="U17">
        <v>0.90770467289719603</v>
      </c>
      <c r="V17">
        <v>0.33282504672897201</v>
      </c>
      <c r="W17">
        <v>0.34795345794392502</v>
      </c>
      <c r="X17">
        <v>5.03</v>
      </c>
      <c r="Y17">
        <v>7.4999999999999983E-2</v>
      </c>
      <c r="Z17">
        <v>0.5</v>
      </c>
      <c r="AA17">
        <v>0</v>
      </c>
      <c r="AB17">
        <v>0.22692616822429901</v>
      </c>
      <c r="AC17">
        <v>0</v>
      </c>
      <c r="AD17">
        <v>0</v>
      </c>
      <c r="AE17">
        <v>0</v>
      </c>
      <c r="AG17">
        <f t="array" ref="AG17:AH17">T1T2(T17,S17,V17,X17,Y17)</f>
        <v>2.1845997129244976</v>
      </c>
      <c r="AH17">
        <v>4.7488676935290623E-2</v>
      </c>
      <c r="AJ17">
        <f t="array" ref="AJ17:AM17">Canay(T17,AB17,S17,V17,AG17,AH17)</f>
        <v>0.29133512564263442</v>
      </c>
      <c r="AK17">
        <v>0.44946458419024893</v>
      </c>
      <c r="AL17">
        <v>6.1237202518593046</v>
      </c>
      <c r="AM17">
        <v>0.16125999698030463</v>
      </c>
      <c r="AO17" s="1">
        <f t="array" ref="AO17:AR17">Niipt(T17,AB17,S17,V17,X17,Y17)</f>
        <v>0.28893018781778446</v>
      </c>
      <c r="AP17" s="1">
        <v>0.43704299065420693</v>
      </c>
      <c r="AQ17" s="1">
        <v>6.0659009138382594</v>
      </c>
      <c r="AR17" s="1">
        <v>0.16292135154565068</v>
      </c>
      <c r="AT17" s="1">
        <f t="shared" si="1"/>
        <v>0.82548845407675753</v>
      </c>
      <c r="AU17" s="1">
        <f t="shared" si="0"/>
        <v>2.7636423364525196</v>
      </c>
      <c r="AV17" s="1">
        <f t="shared" si="0"/>
        <v>0.94418646905841142</v>
      </c>
      <c r="AW17" s="1">
        <f t="shared" si="0"/>
        <v>-1.0302335337070356</v>
      </c>
    </row>
    <row r="18" spans="1:49" x14ac:dyDescent="0.25">
      <c r="A18" t="s">
        <v>31</v>
      </c>
      <c r="B18" t="s">
        <v>31</v>
      </c>
      <c r="C18">
        <v>61111013</v>
      </c>
      <c r="D18" t="s">
        <v>50</v>
      </c>
      <c r="E18">
        <v>61111013</v>
      </c>
      <c r="F18" t="s">
        <v>34</v>
      </c>
      <c r="G18">
        <v>0</v>
      </c>
      <c r="H18">
        <v>1</v>
      </c>
      <c r="I18">
        <v>61111013</v>
      </c>
      <c r="J18">
        <v>0</v>
      </c>
      <c r="K18">
        <v>0</v>
      </c>
      <c r="L18">
        <v>109.715</v>
      </c>
      <c r="M18">
        <v>11.4357131399639</v>
      </c>
      <c r="N18">
        <v>110</v>
      </c>
      <c r="O18">
        <v>10.5</v>
      </c>
      <c r="P18">
        <v>0.8</v>
      </c>
      <c r="Q18">
        <v>1</v>
      </c>
      <c r="R18">
        <v>7.1879999999999988</v>
      </c>
      <c r="S18">
        <v>0.217292727272727</v>
      </c>
      <c r="T18">
        <v>1.63330363636364</v>
      </c>
      <c r="U18">
        <v>1.4721381818181798</v>
      </c>
      <c r="V18">
        <v>0.15154363636363596</v>
      </c>
      <c r="W18">
        <v>0.16677818181818196</v>
      </c>
      <c r="X18">
        <v>6.7</v>
      </c>
      <c r="Y18">
        <v>0.16</v>
      </c>
      <c r="Z18">
        <v>0.5</v>
      </c>
      <c r="AA18">
        <v>0</v>
      </c>
      <c r="AB18">
        <v>0.15074181818181798</v>
      </c>
      <c r="AC18">
        <v>0.18441818181818201</v>
      </c>
      <c r="AD18">
        <v>0</v>
      </c>
      <c r="AE18">
        <v>0</v>
      </c>
      <c r="AG18">
        <f t="array" ref="AG18:AH18">T1T2(T18,S18,V18,X18,Y18)</f>
        <v>0.84599530488956864</v>
      </c>
      <c r="AH18">
        <v>0.11757029495424461</v>
      </c>
      <c r="AJ18">
        <f t="array" ref="AJ18:AM18">Canay(T18,AB18,S18,V18,AG18,AH18)</f>
        <v>0.41697730142572687</v>
      </c>
      <c r="AK18">
        <v>0.15112785687968372</v>
      </c>
      <c r="AL18">
        <v>0.5041928043584305</v>
      </c>
      <c r="AM18">
        <v>8.0653349494050862E-4</v>
      </c>
      <c r="AO18" s="1">
        <f t="array" ref="AO18:AR18">Niipt(T18,AB18,S18,V18,X18,Y18)</f>
        <v>0</v>
      </c>
      <c r="AP18" s="1">
        <v>0</v>
      </c>
      <c r="AQ18" s="1">
        <v>0</v>
      </c>
      <c r="AR18" s="1">
        <v>0</v>
      </c>
      <c r="AT18" s="1">
        <f t="shared" si="1"/>
        <v>0</v>
      </c>
      <c r="AU18" s="1">
        <f t="shared" ref="AU18:AU81" si="2">IF(AP18&gt;0,(AK18-AP18)/AK18*100,0)</f>
        <v>0</v>
      </c>
      <c r="AV18" s="1">
        <f t="shared" ref="AV18:AV81" si="3">IF(AQ18&gt;0,(AL18-AQ18)/AL18*100,0)</f>
        <v>0</v>
      </c>
      <c r="AW18" s="1">
        <f t="shared" ref="AW18:AW81" si="4">IF(AR18&gt;0,(AM18-AR18)/AM18*100,0)</f>
        <v>0</v>
      </c>
    </row>
    <row r="19" spans="1:49" x14ac:dyDescent="0.25">
      <c r="A19" t="s">
        <v>31</v>
      </c>
      <c r="B19" t="s">
        <v>31</v>
      </c>
      <c r="C19">
        <v>61111014</v>
      </c>
      <c r="D19" t="s">
        <v>51</v>
      </c>
      <c r="E19">
        <v>61111014</v>
      </c>
      <c r="F19" t="s">
        <v>34</v>
      </c>
      <c r="G19">
        <v>0</v>
      </c>
      <c r="H19">
        <v>1</v>
      </c>
      <c r="I19">
        <v>61111014</v>
      </c>
      <c r="J19">
        <v>0</v>
      </c>
      <c r="K19">
        <v>0</v>
      </c>
      <c r="L19">
        <v>135.78100000000001</v>
      </c>
      <c r="M19">
        <v>35.800352116730203</v>
      </c>
      <c r="N19">
        <v>136</v>
      </c>
      <c r="O19">
        <v>10.5</v>
      </c>
      <c r="P19">
        <v>0.92</v>
      </c>
      <c r="Q19">
        <v>1</v>
      </c>
      <c r="R19">
        <v>6.0219999999999994</v>
      </c>
      <c r="S19">
        <v>0.21180970588235298</v>
      </c>
      <c r="T19">
        <v>1.6258632352941198</v>
      </c>
      <c r="U19">
        <v>1.46327691176471</v>
      </c>
      <c r="V19">
        <v>0.14543272058823498</v>
      </c>
      <c r="W19">
        <v>0.15960308823529398</v>
      </c>
      <c r="X19">
        <v>6.76</v>
      </c>
      <c r="Y19">
        <v>0.16</v>
      </c>
      <c r="Z19">
        <v>0.5</v>
      </c>
      <c r="AA19">
        <v>0</v>
      </c>
      <c r="AB19">
        <v>0.14468691176470597</v>
      </c>
      <c r="AC19">
        <v>0.17750250000000001</v>
      </c>
      <c r="AD19">
        <v>0</v>
      </c>
      <c r="AE19">
        <v>0</v>
      </c>
      <c r="AG19">
        <f t="array" ref="AG19:AH19">T1T2(T19,S19,V19,X19,Y19)</f>
        <v>0.83339653668520208</v>
      </c>
      <c r="AH19">
        <v>0.11608954392590112</v>
      </c>
      <c r="AJ19">
        <f t="array" ref="AJ19:AM19">Canay(T19,AB19,S19,V19,AG19,AH19)</f>
        <v>0.41088622206671455</v>
      </c>
      <c r="AK19">
        <v>0.14987923305082354</v>
      </c>
      <c r="AL19">
        <v>0.50228043962065683</v>
      </c>
      <c r="AM19">
        <v>7.4991806691247754E-4</v>
      </c>
      <c r="AO19" s="1">
        <f t="array" ref="AO19:AR19">Niipt(T19,AB19,S19,V19,X19,Y19)</f>
        <v>0</v>
      </c>
      <c r="AP19" s="1">
        <v>0</v>
      </c>
      <c r="AQ19" s="1">
        <v>0</v>
      </c>
      <c r="AR19" s="1">
        <v>0</v>
      </c>
      <c r="AT19" s="1">
        <f t="shared" si="1"/>
        <v>0</v>
      </c>
      <c r="AU19" s="1">
        <f t="shared" si="2"/>
        <v>0</v>
      </c>
      <c r="AV19" s="1">
        <f t="shared" si="3"/>
        <v>0</v>
      </c>
      <c r="AW19" s="1">
        <f t="shared" si="4"/>
        <v>0</v>
      </c>
    </row>
    <row r="20" spans="1:49" x14ac:dyDescent="0.25">
      <c r="A20" t="s">
        <v>31</v>
      </c>
      <c r="B20" t="s">
        <v>31</v>
      </c>
      <c r="C20">
        <v>61111012</v>
      </c>
      <c r="D20" t="s">
        <v>52</v>
      </c>
      <c r="E20">
        <v>61111012</v>
      </c>
      <c r="F20" t="s">
        <v>34</v>
      </c>
      <c r="G20">
        <v>0</v>
      </c>
      <c r="H20">
        <v>1</v>
      </c>
      <c r="I20">
        <v>61111012</v>
      </c>
      <c r="J20">
        <v>0</v>
      </c>
      <c r="K20">
        <v>0</v>
      </c>
      <c r="L20">
        <v>100.84699999999998</v>
      </c>
      <c r="M20">
        <v>25.956828715894201</v>
      </c>
      <c r="N20">
        <v>100</v>
      </c>
      <c r="O20">
        <v>10.5</v>
      </c>
      <c r="P20">
        <v>0.8</v>
      </c>
      <c r="Q20">
        <v>1</v>
      </c>
      <c r="R20">
        <v>8.0629999999999988</v>
      </c>
      <c r="S20">
        <v>0.245196</v>
      </c>
      <c r="T20">
        <v>1.6819740000000001</v>
      </c>
      <c r="U20">
        <v>1.513512</v>
      </c>
      <c r="V20">
        <v>0.16934399999999997</v>
      </c>
      <c r="W20">
        <v>0.18610199999999999</v>
      </c>
      <c r="X20">
        <v>6.45</v>
      </c>
      <c r="Y20">
        <v>0.17</v>
      </c>
      <c r="Z20">
        <v>0.5</v>
      </c>
      <c r="AA20">
        <v>0</v>
      </c>
      <c r="AB20">
        <v>0.15346799999999997</v>
      </c>
      <c r="AC20">
        <v>0.20638799999999999</v>
      </c>
      <c r="AD20">
        <v>0</v>
      </c>
      <c r="AE20">
        <v>0</v>
      </c>
      <c r="AG20">
        <f t="array" ref="AG20:AH20">T1T2(T20,S20,V20,X20,Y20)</f>
        <v>0.89153895068382283</v>
      </c>
      <c r="AH20">
        <v>0.12382799750122914</v>
      </c>
      <c r="AJ20">
        <f t="array" ref="AJ20:AM20">Canay(T20,AB20,S20,V20,AG20,AH20)</f>
        <v>0.39577769453488559</v>
      </c>
      <c r="AK20">
        <v>0.16856128292204872</v>
      </c>
      <c r="AL20">
        <v>0.66303175216577293</v>
      </c>
      <c r="AM20">
        <v>1.7730067610125886E-2</v>
      </c>
      <c r="AO20" s="1">
        <f t="array" ref="AO20:AR20">Niipt(T20,AB20,S20,V20,X20,Y20)</f>
        <v>0</v>
      </c>
      <c r="AP20" s="1">
        <v>0</v>
      </c>
      <c r="AQ20" s="1">
        <v>0</v>
      </c>
      <c r="AR20" s="1">
        <v>0</v>
      </c>
      <c r="AT20" s="1">
        <f t="shared" si="1"/>
        <v>0</v>
      </c>
      <c r="AU20" s="1">
        <f t="shared" si="2"/>
        <v>0</v>
      </c>
      <c r="AV20" s="1">
        <f t="shared" si="3"/>
        <v>0</v>
      </c>
      <c r="AW20" s="1">
        <f t="shared" si="4"/>
        <v>0</v>
      </c>
    </row>
    <row r="21" spans="1:49" x14ac:dyDescent="0.25">
      <c r="A21" t="s">
        <v>31</v>
      </c>
      <c r="B21" t="s">
        <v>31</v>
      </c>
      <c r="C21">
        <v>61111005</v>
      </c>
      <c r="D21" t="s">
        <v>53</v>
      </c>
      <c r="E21">
        <v>61111005</v>
      </c>
      <c r="F21" t="s">
        <v>34</v>
      </c>
      <c r="G21">
        <v>0</v>
      </c>
      <c r="H21">
        <v>1</v>
      </c>
      <c r="I21">
        <v>61111005</v>
      </c>
      <c r="J21">
        <v>0</v>
      </c>
      <c r="K21">
        <v>0</v>
      </c>
      <c r="L21">
        <v>60.973999999999997</v>
      </c>
      <c r="M21">
        <v>11.818522780222098</v>
      </c>
      <c r="N21">
        <v>63</v>
      </c>
      <c r="O21">
        <v>6.3</v>
      </c>
      <c r="P21">
        <v>0.8</v>
      </c>
      <c r="Q21">
        <v>1</v>
      </c>
      <c r="R21">
        <v>8.6630000000000003</v>
      </c>
      <c r="S21">
        <v>0.1386</v>
      </c>
      <c r="T21">
        <v>0.96516000000000002</v>
      </c>
      <c r="U21">
        <v>0.86839199999999994</v>
      </c>
      <c r="V21">
        <v>9.0719999999999981E-2</v>
      </c>
      <c r="W21">
        <v>9.9792000000000006E-2</v>
      </c>
      <c r="X21">
        <v>6.09</v>
      </c>
      <c r="Y21">
        <v>0.16700000000000001</v>
      </c>
      <c r="Z21">
        <v>0.5</v>
      </c>
      <c r="AA21">
        <v>0</v>
      </c>
      <c r="AB21">
        <v>8.9712E-2</v>
      </c>
      <c r="AC21">
        <v>0.11088000000000001</v>
      </c>
      <c r="AD21">
        <v>0</v>
      </c>
      <c r="AE21">
        <v>0</v>
      </c>
      <c r="AG21">
        <f t="array" ref="AG21:AH21">T1T2(T21,S21,V21,X21,Y21)</f>
        <v>0.82028222086366887</v>
      </c>
      <c r="AH21">
        <v>0.11653977948922184</v>
      </c>
      <c r="AJ21">
        <f t="array" ref="AJ21:AM21">Canay(T21,AB21,S21,V21,AG21,AH21)</f>
        <v>0.26716866735457662</v>
      </c>
      <c r="AK21">
        <v>0.10382726293445906</v>
      </c>
      <c r="AL21">
        <v>0.33819301912177785</v>
      </c>
      <c r="AM21">
        <v>1.019066906848834E-3</v>
      </c>
      <c r="AO21" s="1">
        <f t="array" ref="AO21:AR21">Niipt(T21,AB21,S21,V21,X21,Y21)</f>
        <v>0</v>
      </c>
      <c r="AP21" s="1">
        <v>0</v>
      </c>
      <c r="AQ21" s="1">
        <v>0</v>
      </c>
      <c r="AR21" s="1">
        <v>0</v>
      </c>
      <c r="AT21" s="1">
        <f t="shared" si="1"/>
        <v>0</v>
      </c>
      <c r="AU21" s="1">
        <f t="shared" si="2"/>
        <v>0</v>
      </c>
      <c r="AV21" s="1">
        <f t="shared" si="3"/>
        <v>0</v>
      </c>
      <c r="AW21" s="1">
        <f t="shared" si="4"/>
        <v>0</v>
      </c>
    </row>
    <row r="22" spans="1:49" x14ac:dyDescent="0.25">
      <c r="A22" t="s">
        <v>31</v>
      </c>
      <c r="B22" t="s">
        <v>31</v>
      </c>
      <c r="C22">
        <v>61190052</v>
      </c>
      <c r="D22" t="s">
        <v>54</v>
      </c>
      <c r="E22">
        <v>61190052</v>
      </c>
      <c r="F22" t="s">
        <v>34</v>
      </c>
      <c r="G22">
        <v>0</v>
      </c>
      <c r="H22">
        <v>1</v>
      </c>
      <c r="I22">
        <v>61190052</v>
      </c>
      <c r="J22">
        <v>0</v>
      </c>
      <c r="K22">
        <v>0</v>
      </c>
      <c r="L22">
        <v>604.17556596702798</v>
      </c>
      <c r="M22">
        <v>31.7060518768496</v>
      </c>
      <c r="N22">
        <v>640</v>
      </c>
      <c r="O22">
        <v>15.75</v>
      </c>
      <c r="P22">
        <v>0.9</v>
      </c>
      <c r="Q22">
        <v>1</v>
      </c>
      <c r="R22">
        <v>9.1560000000000006</v>
      </c>
      <c r="S22">
        <v>0.15000029296874998</v>
      </c>
      <c r="T22">
        <v>0.55814062499999995</v>
      </c>
      <c r="U22">
        <v>0.34534951171874995</v>
      </c>
      <c r="V22">
        <v>0.10290717773437498</v>
      </c>
      <c r="W22">
        <v>0.10988393554687501</v>
      </c>
      <c r="X22">
        <v>8.2999999999999989</v>
      </c>
      <c r="Y22">
        <v>0.20799999999999996</v>
      </c>
      <c r="Z22">
        <v>0.5</v>
      </c>
      <c r="AA22">
        <v>0</v>
      </c>
      <c r="AB22">
        <v>6.4186171874999989E-2</v>
      </c>
      <c r="AC22">
        <v>0.106395556640625</v>
      </c>
      <c r="AD22">
        <v>0</v>
      </c>
      <c r="AE22">
        <v>0</v>
      </c>
      <c r="AG22">
        <f t="array" ref="AG22:AH22">T1T2(T22,S22,V22,X22,Y22)</f>
        <v>2.1804894159428145</v>
      </c>
      <c r="AH22">
        <v>0.14597869527487198</v>
      </c>
      <c r="AJ22">
        <f t="array" ref="AJ22:AM22">Canay(T22,AB22,S22,V22,AG22,AH22)</f>
        <v>7.8555216517718338E-2</v>
      </c>
      <c r="AK22">
        <v>0.1122145219633008</v>
      </c>
      <c r="AL22">
        <v>0.70889868728096894</v>
      </c>
      <c r="AM22">
        <v>6.7160093361677636E-2</v>
      </c>
      <c r="AO22" s="1">
        <f t="array" ref="AO22:AR22">Niipt(T22,AB22,S22,V22,X22,Y22)</f>
        <v>7.7653664502139452E-2</v>
      </c>
      <c r="AP22" s="1">
        <v>0.10385709014423074</v>
      </c>
      <c r="AQ22" s="1">
        <v>0.6973021619243378</v>
      </c>
      <c r="AR22" s="1">
        <v>7.0558277343749962E-2</v>
      </c>
      <c r="AT22" s="1">
        <f t="shared" si="1"/>
        <v>1.1476666420689425</v>
      </c>
      <c r="AU22" s="1">
        <f t="shared" si="2"/>
        <v>7.4477275069650224</v>
      </c>
      <c r="AV22" s="1">
        <f t="shared" si="3"/>
        <v>1.6358508718799341</v>
      </c>
      <c r="AW22" s="1">
        <f t="shared" si="4"/>
        <v>-5.0598261735165639</v>
      </c>
    </row>
    <row r="23" spans="1:49" x14ac:dyDescent="0.25">
      <c r="A23" t="s">
        <v>31</v>
      </c>
      <c r="B23" t="s">
        <v>31</v>
      </c>
      <c r="C23">
        <v>61190051</v>
      </c>
      <c r="D23" t="s">
        <v>55</v>
      </c>
      <c r="E23">
        <v>61190051</v>
      </c>
      <c r="F23" t="s">
        <v>34</v>
      </c>
      <c r="G23">
        <v>0</v>
      </c>
      <c r="H23">
        <v>1</v>
      </c>
      <c r="I23">
        <v>61190051</v>
      </c>
      <c r="J23">
        <v>0</v>
      </c>
      <c r="K23">
        <v>0</v>
      </c>
      <c r="L23">
        <v>632.33556596702795</v>
      </c>
      <c r="M23">
        <v>40.186159876773097</v>
      </c>
      <c r="N23">
        <v>640</v>
      </c>
      <c r="O23">
        <v>15.75</v>
      </c>
      <c r="P23">
        <v>0.9</v>
      </c>
      <c r="Q23">
        <v>1</v>
      </c>
      <c r="R23">
        <v>9.1560000000000006</v>
      </c>
      <c r="S23">
        <v>0.15000029296874998</v>
      </c>
      <c r="T23">
        <v>0.55814062499999995</v>
      </c>
      <c r="U23">
        <v>0.34534951171874995</v>
      </c>
      <c r="V23">
        <v>0.10290717773437498</v>
      </c>
      <c r="W23">
        <v>0.10988393554687501</v>
      </c>
      <c r="X23">
        <v>8.2999999999999989</v>
      </c>
      <c r="Y23">
        <v>0.20799999999999996</v>
      </c>
      <c r="Z23">
        <v>0.5</v>
      </c>
      <c r="AA23">
        <v>0</v>
      </c>
      <c r="AB23">
        <v>6.4186171874999989E-2</v>
      </c>
      <c r="AC23">
        <v>0.106395556640625</v>
      </c>
      <c r="AD23">
        <v>0</v>
      </c>
      <c r="AE23">
        <v>0</v>
      </c>
      <c r="AG23">
        <f t="array" ref="AG23:AH23">T1T2(T23,S23,V23,X23,Y23)</f>
        <v>2.1804894159428145</v>
      </c>
      <c r="AH23">
        <v>0.14597869527487198</v>
      </c>
      <c r="AJ23">
        <f t="array" ref="AJ23:AM23">Canay(T23,AB23,S23,V23,AG23,AH23)</f>
        <v>7.8555216517718338E-2</v>
      </c>
      <c r="AK23">
        <v>0.1122145219633008</v>
      </c>
      <c r="AL23">
        <v>0.70889868728096894</v>
      </c>
      <c r="AM23">
        <v>6.7160093361677636E-2</v>
      </c>
      <c r="AO23" s="1">
        <f t="array" ref="AO23:AR23">Niipt(T23,AB23,S23,V23,X23,Y23)</f>
        <v>7.7653664502139452E-2</v>
      </c>
      <c r="AP23" s="1">
        <v>0.10385709014423074</v>
      </c>
      <c r="AQ23" s="1">
        <v>0.6973021619243378</v>
      </c>
      <c r="AR23" s="1">
        <v>7.0558277343749962E-2</v>
      </c>
      <c r="AT23" s="1">
        <f t="shared" si="1"/>
        <v>1.1476666420689425</v>
      </c>
      <c r="AU23" s="1">
        <f t="shared" si="2"/>
        <v>7.4477275069650224</v>
      </c>
      <c r="AV23" s="1">
        <f t="shared" si="3"/>
        <v>1.6358508718799341</v>
      </c>
      <c r="AW23" s="1">
        <f t="shared" si="4"/>
        <v>-5.0598261735165639</v>
      </c>
    </row>
    <row r="24" spans="1:49" x14ac:dyDescent="0.25">
      <c r="A24" t="s">
        <v>31</v>
      </c>
      <c r="B24" t="s">
        <v>32</v>
      </c>
      <c r="C24">
        <v>61190059</v>
      </c>
      <c r="D24" t="s">
        <v>56</v>
      </c>
      <c r="E24">
        <v>61190059</v>
      </c>
      <c r="F24" t="s">
        <v>34</v>
      </c>
      <c r="G24">
        <v>0</v>
      </c>
      <c r="H24">
        <v>1</v>
      </c>
      <c r="I24">
        <v>61190059</v>
      </c>
      <c r="J24">
        <v>0</v>
      </c>
      <c r="K24">
        <v>0</v>
      </c>
      <c r="L24">
        <v>0</v>
      </c>
      <c r="M24">
        <v>0</v>
      </c>
      <c r="N24">
        <v>640</v>
      </c>
      <c r="O24">
        <v>15.75</v>
      </c>
      <c r="P24">
        <v>0.9</v>
      </c>
      <c r="Q24">
        <v>1</v>
      </c>
      <c r="R24">
        <v>9.1560000000000006</v>
      </c>
      <c r="S24">
        <v>0.15000029296874998</v>
      </c>
      <c r="T24">
        <v>0.55814062499999995</v>
      </c>
      <c r="U24">
        <v>0.34534951171874995</v>
      </c>
      <c r="V24">
        <v>0.10290717773437498</v>
      </c>
      <c r="W24">
        <v>0.10988393554687501</v>
      </c>
      <c r="X24">
        <v>8.2999999999999989</v>
      </c>
      <c r="Y24">
        <v>0.20799999999999996</v>
      </c>
      <c r="Z24">
        <v>0.5</v>
      </c>
      <c r="AA24">
        <v>0</v>
      </c>
      <c r="AB24">
        <v>6.4186171874999989E-2</v>
      </c>
      <c r="AC24">
        <v>0.106395556640625</v>
      </c>
      <c r="AD24">
        <v>0</v>
      </c>
      <c r="AE24">
        <v>0</v>
      </c>
      <c r="AG24">
        <f t="array" ref="AG24:AH24">T1T2(T24,S24,V24,X24,Y24)</f>
        <v>2.1804894159428145</v>
      </c>
      <c r="AH24">
        <v>0.14597869527487198</v>
      </c>
      <c r="AJ24">
        <f t="array" ref="AJ24:AM24">Canay(T24,AB24,S24,V24,AG24,AH24)</f>
        <v>7.8555216517718338E-2</v>
      </c>
      <c r="AK24">
        <v>0.1122145219633008</v>
      </c>
      <c r="AL24">
        <v>0.70889868728096894</v>
      </c>
      <c r="AM24">
        <v>6.7160093361677636E-2</v>
      </c>
      <c r="AO24" s="1">
        <f t="array" ref="AO24:AR24">Niipt(T24,AB24,S24,V24,X24,Y24)</f>
        <v>7.7653664502139452E-2</v>
      </c>
      <c r="AP24" s="1">
        <v>0.10385709014423074</v>
      </c>
      <c r="AQ24" s="1">
        <v>0.6973021619243378</v>
      </c>
      <c r="AR24" s="1">
        <v>7.0558277343749962E-2</v>
      </c>
      <c r="AT24" s="1">
        <f t="shared" si="1"/>
        <v>1.1476666420689425</v>
      </c>
      <c r="AU24" s="1">
        <f t="shared" si="2"/>
        <v>7.4477275069650224</v>
      </c>
      <c r="AV24" s="1">
        <f t="shared" si="3"/>
        <v>1.6358508718799341</v>
      </c>
      <c r="AW24" s="1">
        <f t="shared" si="4"/>
        <v>-5.0598261735165639</v>
      </c>
    </row>
    <row r="25" spans="1:49" x14ac:dyDescent="0.25">
      <c r="A25" t="s">
        <v>31</v>
      </c>
      <c r="B25" t="s">
        <v>31</v>
      </c>
      <c r="C25">
        <v>61190050</v>
      </c>
      <c r="D25" t="s">
        <v>57</v>
      </c>
      <c r="E25">
        <v>61190050</v>
      </c>
      <c r="F25" t="s">
        <v>34</v>
      </c>
      <c r="G25">
        <v>0</v>
      </c>
      <c r="H25">
        <v>1</v>
      </c>
      <c r="I25">
        <v>61190050</v>
      </c>
      <c r="J25">
        <v>0</v>
      </c>
      <c r="K25">
        <v>0</v>
      </c>
      <c r="L25">
        <v>642.14556596702801</v>
      </c>
      <c r="M25">
        <v>164.33354845455401</v>
      </c>
      <c r="N25">
        <v>640</v>
      </c>
      <c r="O25">
        <v>15.75</v>
      </c>
      <c r="P25">
        <v>0.9</v>
      </c>
      <c r="Q25">
        <v>1</v>
      </c>
      <c r="R25">
        <v>9.1560000000000006</v>
      </c>
      <c r="S25">
        <v>0.15000029296874998</v>
      </c>
      <c r="T25">
        <v>0.55814062499999995</v>
      </c>
      <c r="U25">
        <v>0.34534951171874995</v>
      </c>
      <c r="V25">
        <v>0.10290717773437498</v>
      </c>
      <c r="W25">
        <v>0.10988393554687501</v>
      </c>
      <c r="X25">
        <v>8.2999999999999989</v>
      </c>
      <c r="Y25">
        <v>0.20799999999999996</v>
      </c>
      <c r="Z25">
        <v>0.5</v>
      </c>
      <c r="AA25">
        <v>0</v>
      </c>
      <c r="AB25">
        <v>6.4186171874999989E-2</v>
      </c>
      <c r="AC25">
        <v>0.106395556640625</v>
      </c>
      <c r="AD25">
        <v>0</v>
      </c>
      <c r="AE25">
        <v>0</v>
      </c>
      <c r="AG25">
        <f t="array" ref="AG25:AH25">T1T2(T25,S25,V25,X25,Y25)</f>
        <v>2.1804894159428145</v>
      </c>
      <c r="AH25">
        <v>0.14597869527487198</v>
      </c>
      <c r="AJ25">
        <f t="array" ref="AJ25:AM25">Canay(T25,AB25,S25,V25,AG25,AH25)</f>
        <v>7.8555216517718338E-2</v>
      </c>
      <c r="AK25">
        <v>0.1122145219633008</v>
      </c>
      <c r="AL25">
        <v>0.70889868728096894</v>
      </c>
      <c r="AM25">
        <v>6.7160093361677636E-2</v>
      </c>
      <c r="AO25" s="1">
        <f t="array" ref="AO25:AR25">Niipt(T25,AB25,S25,V25,X25,Y25)</f>
        <v>7.7653664502139452E-2</v>
      </c>
      <c r="AP25" s="1">
        <v>0.10385709014423074</v>
      </c>
      <c r="AQ25" s="1">
        <v>0.6973021619243378</v>
      </c>
      <c r="AR25" s="1">
        <v>7.0558277343749962E-2</v>
      </c>
      <c r="AT25" s="1">
        <f t="shared" si="1"/>
        <v>1.1476666420689425</v>
      </c>
      <c r="AU25" s="1">
        <f t="shared" si="2"/>
        <v>7.4477275069650224</v>
      </c>
      <c r="AV25" s="1">
        <f t="shared" si="3"/>
        <v>1.6358508718799341</v>
      </c>
      <c r="AW25" s="1">
        <f t="shared" si="4"/>
        <v>-5.0598261735165639</v>
      </c>
    </row>
    <row r="26" spans="1:49" x14ac:dyDescent="0.25">
      <c r="A26" t="s">
        <v>31</v>
      </c>
      <c r="B26" t="s">
        <v>31</v>
      </c>
      <c r="C26">
        <v>61190058</v>
      </c>
      <c r="D26" t="s">
        <v>58</v>
      </c>
      <c r="E26">
        <v>61190058</v>
      </c>
      <c r="F26" t="s">
        <v>34</v>
      </c>
      <c r="G26">
        <v>0</v>
      </c>
      <c r="H26">
        <v>1</v>
      </c>
      <c r="I26">
        <v>61190058</v>
      </c>
      <c r="J26">
        <v>0</v>
      </c>
      <c r="K26">
        <v>0</v>
      </c>
      <c r="L26">
        <v>622.14556596702801</v>
      </c>
      <c r="M26">
        <v>157.90519924902298</v>
      </c>
      <c r="N26">
        <v>640</v>
      </c>
      <c r="O26">
        <v>15.75</v>
      </c>
      <c r="P26">
        <v>0.9</v>
      </c>
      <c r="Q26">
        <v>1</v>
      </c>
      <c r="R26">
        <v>9.1560000000000006</v>
      </c>
      <c r="S26">
        <v>0.15000029296874998</v>
      </c>
      <c r="T26">
        <v>0.55814062499999995</v>
      </c>
      <c r="U26">
        <v>0.34534951171874995</v>
      </c>
      <c r="V26">
        <v>0.10290717773437498</v>
      </c>
      <c r="W26">
        <v>0.10988393554687501</v>
      </c>
      <c r="X26">
        <v>8.2999999999999989</v>
      </c>
      <c r="Y26">
        <v>0.20799999999999996</v>
      </c>
      <c r="Z26">
        <v>0.5</v>
      </c>
      <c r="AA26">
        <v>0</v>
      </c>
      <c r="AB26">
        <v>6.4186171874999989E-2</v>
      </c>
      <c r="AC26">
        <v>0.106395556640625</v>
      </c>
      <c r="AD26">
        <v>0</v>
      </c>
      <c r="AE26">
        <v>0</v>
      </c>
      <c r="AG26">
        <f t="array" ref="AG26:AH26">T1T2(T26,S26,V26,X26,Y26)</f>
        <v>2.1804894159428145</v>
      </c>
      <c r="AH26">
        <v>0.14597869527487198</v>
      </c>
      <c r="AJ26">
        <f t="array" ref="AJ26:AM26">Canay(T26,AB26,S26,V26,AG26,AH26)</f>
        <v>7.8555216517718338E-2</v>
      </c>
      <c r="AK26">
        <v>0.1122145219633008</v>
      </c>
      <c r="AL26">
        <v>0.70889868728096894</v>
      </c>
      <c r="AM26">
        <v>6.7160093361677636E-2</v>
      </c>
      <c r="AO26" s="1">
        <f t="array" ref="AO26:AR26">Niipt(T26,AB26,S26,V26,X26,Y26)</f>
        <v>7.7653664502139452E-2</v>
      </c>
      <c r="AP26" s="1">
        <v>0.10385709014423074</v>
      </c>
      <c r="AQ26" s="1">
        <v>0.6973021619243378</v>
      </c>
      <c r="AR26" s="1">
        <v>7.0558277343749962E-2</v>
      </c>
      <c r="AT26" s="1">
        <f t="shared" si="1"/>
        <v>1.1476666420689425</v>
      </c>
      <c r="AU26" s="1">
        <f t="shared" si="2"/>
        <v>7.4477275069650224</v>
      </c>
      <c r="AV26" s="1">
        <f t="shared" si="3"/>
        <v>1.6358508718799341</v>
      </c>
      <c r="AW26" s="1">
        <f t="shared" si="4"/>
        <v>-5.0598261735165639</v>
      </c>
    </row>
    <row r="27" spans="1:49" x14ac:dyDescent="0.25">
      <c r="A27" t="s">
        <v>31</v>
      </c>
      <c r="B27" t="s">
        <v>31</v>
      </c>
      <c r="C27">
        <v>61190057</v>
      </c>
      <c r="D27" t="s">
        <v>59</v>
      </c>
      <c r="E27">
        <v>61190057</v>
      </c>
      <c r="F27" t="s">
        <v>34</v>
      </c>
      <c r="G27">
        <v>0</v>
      </c>
      <c r="H27">
        <v>1</v>
      </c>
      <c r="I27">
        <v>61190057</v>
      </c>
      <c r="J27">
        <v>0</v>
      </c>
      <c r="K27">
        <v>0</v>
      </c>
      <c r="L27">
        <v>602.14556596702801</v>
      </c>
      <c r="M27">
        <v>174.65083129907097</v>
      </c>
      <c r="N27">
        <v>640</v>
      </c>
      <c r="O27">
        <v>15.75</v>
      </c>
      <c r="P27">
        <v>0.9</v>
      </c>
      <c r="Q27">
        <v>1</v>
      </c>
      <c r="R27">
        <v>9.1560000000000006</v>
      </c>
      <c r="S27">
        <v>0.15000029296874998</v>
      </c>
      <c r="T27">
        <v>0.55814062499999995</v>
      </c>
      <c r="U27">
        <v>0.34534951171874995</v>
      </c>
      <c r="V27">
        <v>0.10290717773437498</v>
      </c>
      <c r="W27">
        <v>0.10988393554687501</v>
      </c>
      <c r="X27">
        <v>8.2999999999999989</v>
      </c>
      <c r="Y27">
        <v>0.20799999999999996</v>
      </c>
      <c r="Z27">
        <v>0.5</v>
      </c>
      <c r="AA27">
        <v>0</v>
      </c>
      <c r="AB27">
        <v>6.4186171874999989E-2</v>
      </c>
      <c r="AC27">
        <v>0.106395556640625</v>
      </c>
      <c r="AD27">
        <v>0</v>
      </c>
      <c r="AE27">
        <v>0</v>
      </c>
      <c r="AG27">
        <f t="array" ref="AG27:AH27">T1T2(T27,S27,V27,X27,Y27)</f>
        <v>2.1804894159428145</v>
      </c>
      <c r="AH27">
        <v>0.14597869527487198</v>
      </c>
      <c r="AJ27">
        <f t="array" ref="AJ27:AM27">Canay(T27,AB27,S27,V27,AG27,AH27)</f>
        <v>7.8555216517718338E-2</v>
      </c>
      <c r="AK27">
        <v>0.1122145219633008</v>
      </c>
      <c r="AL27">
        <v>0.70889868728096894</v>
      </c>
      <c r="AM27">
        <v>6.7160093361677636E-2</v>
      </c>
      <c r="AO27" s="1">
        <f t="array" ref="AO27:AR27">Niipt(T27,AB27,S27,V27,X27,Y27)</f>
        <v>7.7653664502139452E-2</v>
      </c>
      <c r="AP27" s="1">
        <v>0.10385709014423074</v>
      </c>
      <c r="AQ27" s="1">
        <v>0.6973021619243378</v>
      </c>
      <c r="AR27" s="1">
        <v>7.0558277343749962E-2</v>
      </c>
      <c r="AT27" s="1">
        <f t="shared" si="1"/>
        <v>1.1476666420689425</v>
      </c>
      <c r="AU27" s="1">
        <f t="shared" si="2"/>
        <v>7.4477275069650224</v>
      </c>
      <c r="AV27" s="1">
        <f t="shared" si="3"/>
        <v>1.6358508718799341</v>
      </c>
      <c r="AW27" s="1">
        <f t="shared" si="4"/>
        <v>-5.0598261735165639</v>
      </c>
    </row>
    <row r="28" spans="1:49" x14ac:dyDescent="0.25">
      <c r="A28" t="s">
        <v>31</v>
      </c>
      <c r="B28" t="s">
        <v>32</v>
      </c>
      <c r="C28">
        <v>61190056</v>
      </c>
      <c r="D28" t="s">
        <v>60</v>
      </c>
      <c r="E28">
        <v>61190056</v>
      </c>
      <c r="F28" t="s">
        <v>34</v>
      </c>
      <c r="G28">
        <v>0</v>
      </c>
      <c r="H28">
        <v>1</v>
      </c>
      <c r="I28">
        <v>61190056</v>
      </c>
      <c r="J28">
        <v>0</v>
      </c>
      <c r="K28">
        <v>0</v>
      </c>
      <c r="L28">
        <v>0</v>
      </c>
      <c r="M28">
        <v>0</v>
      </c>
      <c r="N28">
        <v>640</v>
      </c>
      <c r="O28">
        <v>15.75</v>
      </c>
      <c r="P28">
        <v>0.9</v>
      </c>
      <c r="Q28">
        <v>1</v>
      </c>
      <c r="R28">
        <v>9.1560000000000006</v>
      </c>
      <c r="S28">
        <v>0.15000029296874998</v>
      </c>
      <c r="T28">
        <v>0.55814062499999995</v>
      </c>
      <c r="U28">
        <v>0.34534951171874995</v>
      </c>
      <c r="V28">
        <v>0.10290717773437498</v>
      </c>
      <c r="W28">
        <v>0.10988393554687501</v>
      </c>
      <c r="X28">
        <v>8.2999999999999989</v>
      </c>
      <c r="Y28">
        <v>0.20799999999999996</v>
      </c>
      <c r="Z28">
        <v>0.5</v>
      </c>
      <c r="AA28">
        <v>0</v>
      </c>
      <c r="AB28">
        <v>6.4186171874999989E-2</v>
      </c>
      <c r="AC28">
        <v>0.106395556640625</v>
      </c>
      <c r="AD28">
        <v>0</v>
      </c>
      <c r="AE28">
        <v>0</v>
      </c>
      <c r="AG28">
        <f t="array" ref="AG28:AH28">T1T2(T28,S28,V28,X28,Y28)</f>
        <v>2.1804894159428145</v>
      </c>
      <c r="AH28">
        <v>0.14597869527487198</v>
      </c>
      <c r="AJ28">
        <f t="array" ref="AJ28:AM28">Canay(T28,AB28,S28,V28,AG28,AH28)</f>
        <v>7.8555216517718338E-2</v>
      </c>
      <c r="AK28">
        <v>0.1122145219633008</v>
      </c>
      <c r="AL28">
        <v>0.70889868728096894</v>
      </c>
      <c r="AM28">
        <v>6.7160093361677636E-2</v>
      </c>
      <c r="AO28" s="1">
        <f t="array" ref="AO28:AR28">Niipt(T28,AB28,S28,V28,X28,Y28)</f>
        <v>7.7653664502139452E-2</v>
      </c>
      <c r="AP28" s="1">
        <v>0.10385709014423074</v>
      </c>
      <c r="AQ28" s="1">
        <v>0.6973021619243378</v>
      </c>
      <c r="AR28" s="1">
        <v>7.0558277343749962E-2</v>
      </c>
      <c r="AT28" s="1">
        <f t="shared" si="1"/>
        <v>1.1476666420689425</v>
      </c>
      <c r="AU28" s="1">
        <f t="shared" si="2"/>
        <v>7.4477275069650224</v>
      </c>
      <c r="AV28" s="1">
        <f t="shared" si="3"/>
        <v>1.6358508718799341</v>
      </c>
      <c r="AW28" s="1">
        <f t="shared" si="4"/>
        <v>-5.0598261735165639</v>
      </c>
    </row>
    <row r="29" spans="1:49" x14ac:dyDescent="0.25">
      <c r="A29" t="s">
        <v>31</v>
      </c>
      <c r="B29" t="s">
        <v>32</v>
      </c>
      <c r="C29">
        <v>61190054</v>
      </c>
      <c r="D29" t="s">
        <v>61</v>
      </c>
      <c r="E29">
        <v>61190054</v>
      </c>
      <c r="F29" t="s">
        <v>34</v>
      </c>
      <c r="G29">
        <v>0</v>
      </c>
      <c r="H29">
        <v>1</v>
      </c>
      <c r="I29">
        <v>61190054</v>
      </c>
      <c r="J29">
        <v>0</v>
      </c>
      <c r="K29">
        <v>0</v>
      </c>
      <c r="L29">
        <v>0</v>
      </c>
      <c r="M29">
        <v>0</v>
      </c>
      <c r="N29">
        <v>640</v>
      </c>
      <c r="O29">
        <v>15.75</v>
      </c>
      <c r="P29">
        <v>0.9</v>
      </c>
      <c r="Q29">
        <v>1</v>
      </c>
      <c r="R29">
        <v>9.1560000000000006</v>
      </c>
      <c r="S29">
        <v>0.15000029296874998</v>
      </c>
      <c r="T29">
        <v>0.55814062499999995</v>
      </c>
      <c r="U29">
        <v>0.34534951171874995</v>
      </c>
      <c r="V29">
        <v>0.10290717773437498</v>
      </c>
      <c r="W29">
        <v>0.10988393554687501</v>
      </c>
      <c r="X29">
        <v>8.2999999999999989</v>
      </c>
      <c r="Y29">
        <v>0.20799999999999996</v>
      </c>
      <c r="Z29">
        <v>0.5</v>
      </c>
      <c r="AA29">
        <v>0</v>
      </c>
      <c r="AB29">
        <v>6.4186171874999989E-2</v>
      </c>
      <c r="AC29">
        <v>0.106395556640625</v>
      </c>
      <c r="AD29">
        <v>0</v>
      </c>
      <c r="AE29">
        <v>0</v>
      </c>
      <c r="AG29">
        <f t="array" ref="AG29:AH29">T1T2(T29,S29,V29,X29,Y29)</f>
        <v>2.1804894159428145</v>
      </c>
      <c r="AH29">
        <v>0.14597869527487198</v>
      </c>
      <c r="AJ29">
        <f t="array" ref="AJ29:AM29">Canay(T29,AB29,S29,V29,AG29,AH29)</f>
        <v>7.8555216517718338E-2</v>
      </c>
      <c r="AK29">
        <v>0.1122145219633008</v>
      </c>
      <c r="AL29">
        <v>0.70889868728096894</v>
      </c>
      <c r="AM29">
        <v>6.7160093361677636E-2</v>
      </c>
      <c r="AO29" s="1">
        <f t="array" ref="AO29:AR29">Niipt(T29,AB29,S29,V29,X29,Y29)</f>
        <v>7.7653664502139452E-2</v>
      </c>
      <c r="AP29" s="1">
        <v>0.10385709014423074</v>
      </c>
      <c r="AQ29" s="1">
        <v>0.6973021619243378</v>
      </c>
      <c r="AR29" s="1">
        <v>7.0558277343749962E-2</v>
      </c>
      <c r="AT29" s="1">
        <f t="shared" si="1"/>
        <v>1.1476666420689425</v>
      </c>
      <c r="AU29" s="1">
        <f t="shared" si="2"/>
        <v>7.4477275069650224</v>
      </c>
      <c r="AV29" s="1">
        <f t="shared" si="3"/>
        <v>1.6358508718799341</v>
      </c>
      <c r="AW29" s="1">
        <f t="shared" si="4"/>
        <v>-5.0598261735165639</v>
      </c>
    </row>
    <row r="30" spans="1:49" x14ac:dyDescent="0.25">
      <c r="A30" t="s">
        <v>31</v>
      </c>
      <c r="B30" t="s">
        <v>31</v>
      </c>
      <c r="C30">
        <v>61190053</v>
      </c>
      <c r="D30" t="s">
        <v>62</v>
      </c>
      <c r="E30">
        <v>61190053</v>
      </c>
      <c r="F30" t="s">
        <v>34</v>
      </c>
      <c r="G30">
        <v>0</v>
      </c>
      <c r="H30">
        <v>1</v>
      </c>
      <c r="I30">
        <v>61190053</v>
      </c>
      <c r="J30">
        <v>0</v>
      </c>
      <c r="K30">
        <v>0</v>
      </c>
      <c r="L30">
        <v>603.31556596702785</v>
      </c>
      <c r="M30">
        <v>45.414467054505991</v>
      </c>
      <c r="N30">
        <v>640</v>
      </c>
      <c r="O30">
        <v>15.75</v>
      </c>
      <c r="P30">
        <v>0.9</v>
      </c>
      <c r="Q30">
        <v>1</v>
      </c>
      <c r="R30">
        <v>9.1560000000000006</v>
      </c>
      <c r="S30">
        <v>0.15000029296874998</v>
      </c>
      <c r="T30">
        <v>0.55814062499999995</v>
      </c>
      <c r="U30">
        <v>0.34534951171874995</v>
      </c>
      <c r="V30">
        <v>0.10290717773437498</v>
      </c>
      <c r="W30">
        <v>0.10988393554687501</v>
      </c>
      <c r="X30">
        <v>8.2999999999999989</v>
      </c>
      <c r="Y30">
        <v>0.20799999999999996</v>
      </c>
      <c r="Z30">
        <v>0.5</v>
      </c>
      <c r="AA30">
        <v>0</v>
      </c>
      <c r="AB30">
        <v>6.4186171874999989E-2</v>
      </c>
      <c r="AC30">
        <v>0.106395556640625</v>
      </c>
      <c r="AD30">
        <v>0</v>
      </c>
      <c r="AE30">
        <v>0</v>
      </c>
      <c r="AG30">
        <f t="array" ref="AG30:AH30">T1T2(T30,S30,V30,X30,Y30)</f>
        <v>2.1804894159428145</v>
      </c>
      <c r="AH30">
        <v>0.14597869527487198</v>
      </c>
      <c r="AJ30">
        <f t="array" ref="AJ30:AM30">Canay(T30,AB30,S30,V30,AG30,AH30)</f>
        <v>7.8555216517718338E-2</v>
      </c>
      <c r="AK30">
        <v>0.1122145219633008</v>
      </c>
      <c r="AL30">
        <v>0.70889868728096894</v>
      </c>
      <c r="AM30">
        <v>6.7160093361677636E-2</v>
      </c>
      <c r="AO30" s="1">
        <f t="array" ref="AO30:AR30">Niipt(T30,AB30,S30,V30,X30,Y30)</f>
        <v>7.7653664502139452E-2</v>
      </c>
      <c r="AP30" s="1">
        <v>0.10385709014423074</v>
      </c>
      <c r="AQ30" s="1">
        <v>0.6973021619243378</v>
      </c>
      <c r="AR30" s="1">
        <v>7.0558277343749962E-2</v>
      </c>
      <c r="AT30" s="1">
        <f t="shared" si="1"/>
        <v>1.1476666420689425</v>
      </c>
      <c r="AU30" s="1">
        <f t="shared" si="2"/>
        <v>7.4477275069650224</v>
      </c>
      <c r="AV30" s="1">
        <f t="shared" si="3"/>
        <v>1.6358508718799341</v>
      </c>
      <c r="AW30" s="1">
        <f t="shared" si="4"/>
        <v>-5.0598261735165639</v>
      </c>
    </row>
    <row r="31" spans="1:49" x14ac:dyDescent="0.25">
      <c r="A31" t="s">
        <v>31</v>
      </c>
      <c r="B31" t="s">
        <v>31</v>
      </c>
      <c r="C31">
        <v>61190055</v>
      </c>
      <c r="D31" t="s">
        <v>63</v>
      </c>
      <c r="E31">
        <v>61190055</v>
      </c>
      <c r="F31" t="s">
        <v>34</v>
      </c>
      <c r="G31">
        <v>0</v>
      </c>
      <c r="H31">
        <v>1</v>
      </c>
      <c r="I31">
        <v>61190055</v>
      </c>
      <c r="J31">
        <v>0</v>
      </c>
      <c r="K31">
        <v>0</v>
      </c>
      <c r="L31">
        <v>633.08556596702795</v>
      </c>
      <c r="M31">
        <v>50.4174861276977</v>
      </c>
      <c r="N31">
        <v>640</v>
      </c>
      <c r="O31">
        <v>15.75</v>
      </c>
      <c r="P31">
        <v>0.9</v>
      </c>
      <c r="Q31">
        <v>1</v>
      </c>
      <c r="R31">
        <v>9.1560000000000006</v>
      </c>
      <c r="S31">
        <v>0.15000029296874998</v>
      </c>
      <c r="T31">
        <v>0.55814062499999995</v>
      </c>
      <c r="U31">
        <v>0.34534951171874995</v>
      </c>
      <c r="V31">
        <v>0.10290717773437498</v>
      </c>
      <c r="W31">
        <v>0.10988393554687501</v>
      </c>
      <c r="X31">
        <v>8.2999999999999989</v>
      </c>
      <c r="Y31">
        <v>0.20799999999999996</v>
      </c>
      <c r="Z31">
        <v>0.5</v>
      </c>
      <c r="AA31">
        <v>0</v>
      </c>
      <c r="AB31">
        <v>6.4186171874999989E-2</v>
      </c>
      <c r="AC31">
        <v>0.106395556640625</v>
      </c>
      <c r="AD31">
        <v>0</v>
      </c>
      <c r="AE31">
        <v>0</v>
      </c>
      <c r="AG31">
        <f t="array" ref="AG31:AH31">T1T2(T31,S31,V31,X31,Y31)</f>
        <v>2.1804894159428145</v>
      </c>
      <c r="AH31">
        <v>0.14597869527487198</v>
      </c>
      <c r="AJ31">
        <f t="array" ref="AJ31:AM31">Canay(T31,AB31,S31,V31,AG31,AH31)</f>
        <v>7.8555216517718338E-2</v>
      </c>
      <c r="AK31">
        <v>0.1122145219633008</v>
      </c>
      <c r="AL31">
        <v>0.70889868728096894</v>
      </c>
      <c r="AM31">
        <v>6.7160093361677636E-2</v>
      </c>
      <c r="AO31" s="1">
        <f t="array" ref="AO31:AR31">Niipt(T31,AB31,S31,V31,X31,Y31)</f>
        <v>7.7653664502139452E-2</v>
      </c>
      <c r="AP31" s="1">
        <v>0.10385709014423074</v>
      </c>
      <c r="AQ31" s="1">
        <v>0.6973021619243378</v>
      </c>
      <c r="AR31" s="1">
        <v>7.0558277343749962E-2</v>
      </c>
      <c r="AT31" s="1">
        <f t="shared" si="1"/>
        <v>1.1476666420689425</v>
      </c>
      <c r="AU31" s="1">
        <f t="shared" si="2"/>
        <v>7.4477275069650224</v>
      </c>
      <c r="AV31" s="1">
        <f t="shared" si="3"/>
        <v>1.6358508718799341</v>
      </c>
      <c r="AW31" s="1">
        <f t="shared" si="4"/>
        <v>-5.0598261735165639</v>
      </c>
    </row>
    <row r="32" spans="1:49" x14ac:dyDescent="0.25">
      <c r="A32" t="s">
        <v>31</v>
      </c>
      <c r="B32" t="s">
        <v>31</v>
      </c>
      <c r="C32">
        <v>60102911</v>
      </c>
      <c r="D32" t="s">
        <v>64</v>
      </c>
      <c r="E32">
        <v>60102911</v>
      </c>
      <c r="F32" t="s">
        <v>34</v>
      </c>
      <c r="G32">
        <v>0</v>
      </c>
      <c r="H32">
        <v>1</v>
      </c>
      <c r="I32">
        <v>60101106</v>
      </c>
      <c r="J32">
        <v>0</v>
      </c>
      <c r="K32">
        <v>0</v>
      </c>
      <c r="L32">
        <v>60.559793471783998</v>
      </c>
      <c r="M32">
        <v>33.097800360363003</v>
      </c>
      <c r="N32">
        <v>60</v>
      </c>
      <c r="O32">
        <v>6.3</v>
      </c>
      <c r="P32">
        <v>0.8</v>
      </c>
      <c r="Q32">
        <v>1</v>
      </c>
      <c r="R32">
        <v>10.23</v>
      </c>
      <c r="S32">
        <v>0.1280664</v>
      </c>
      <c r="T32">
        <v>1.1642399999999997</v>
      </c>
      <c r="U32">
        <v>1.1642399999999997</v>
      </c>
      <c r="V32">
        <v>6.9854399999999983E-2</v>
      </c>
      <c r="W32">
        <v>0.124362</v>
      </c>
      <c r="X32">
        <v>11.7</v>
      </c>
      <c r="Y32">
        <v>0.2</v>
      </c>
      <c r="Z32">
        <v>0.5</v>
      </c>
      <c r="AA32">
        <v>0</v>
      </c>
      <c r="AB32">
        <v>3.5456399999999992E-2</v>
      </c>
      <c r="AC32">
        <v>0</v>
      </c>
      <c r="AD32">
        <v>0</v>
      </c>
      <c r="AE32">
        <v>0</v>
      </c>
      <c r="AG32">
        <f t="array" ref="AG32:AH32">T1T2(T32,S32,V32,X32,Y32)</f>
        <v>1.1984910385291274</v>
      </c>
      <c r="AH32">
        <v>0.11714730897972232</v>
      </c>
      <c r="AJ32">
        <f t="array" ref="AJ32:AM32">Canay(T32,AB32,S32,V32,AG32,AH32)</f>
        <v>0.12254358473795648</v>
      </c>
      <c r="AK32">
        <v>0.11081843387412429</v>
      </c>
      <c r="AL32">
        <v>0.66183121592416139</v>
      </c>
      <c r="AM32">
        <v>5.2187221845351808E-2</v>
      </c>
      <c r="AO32" s="1">
        <f t="array" ref="AO32:AR32">Niipt(T32,AB32,S32,V32,X32,Y32)</f>
        <v>0.12266030123814473</v>
      </c>
      <c r="AP32" s="1">
        <v>0.10088719611848825</v>
      </c>
      <c r="AQ32" s="1">
        <v>0.63120760439553214</v>
      </c>
      <c r="AR32" s="1">
        <v>5.4724090909090868E-2</v>
      </c>
      <c r="AT32" s="1">
        <f t="shared" si="1"/>
        <v>-9.5244888125171082E-2</v>
      </c>
      <c r="AU32" s="1">
        <f t="shared" si="2"/>
        <v>8.9617200031148947</v>
      </c>
      <c r="AV32" s="1">
        <f t="shared" si="3"/>
        <v>4.6271029216818294</v>
      </c>
      <c r="AW32" s="1">
        <f t="shared" si="4"/>
        <v>-4.8610923786222058</v>
      </c>
    </row>
    <row r="33" spans="1:49" x14ac:dyDescent="0.25">
      <c r="A33" t="s">
        <v>31</v>
      </c>
      <c r="B33" t="s">
        <v>31</v>
      </c>
      <c r="C33">
        <v>60102912</v>
      </c>
      <c r="D33" t="s">
        <v>65</v>
      </c>
      <c r="E33">
        <v>60102912</v>
      </c>
      <c r="F33" t="s">
        <v>34</v>
      </c>
      <c r="G33">
        <v>0</v>
      </c>
      <c r="H33">
        <v>1</v>
      </c>
      <c r="I33">
        <v>60101107</v>
      </c>
      <c r="J33">
        <v>0</v>
      </c>
      <c r="K33">
        <v>0</v>
      </c>
      <c r="L33">
        <v>47.529179345623092</v>
      </c>
      <c r="M33">
        <v>22.6176562261345</v>
      </c>
      <c r="N33">
        <v>50.509</v>
      </c>
      <c r="O33">
        <v>6.3</v>
      </c>
      <c r="P33">
        <v>0.85</v>
      </c>
      <c r="Q33">
        <v>1</v>
      </c>
      <c r="R33">
        <v>4.07</v>
      </c>
      <c r="S33">
        <v>0.22041705438634698</v>
      </c>
      <c r="T33">
        <v>1.3091437169613298</v>
      </c>
      <c r="U33">
        <v>1.0753680532182397</v>
      </c>
      <c r="V33">
        <v>0.14961642479558099</v>
      </c>
      <c r="W33">
        <v>0.13358609356748297</v>
      </c>
      <c r="X33">
        <v>4.9000000000000004</v>
      </c>
      <c r="Y33">
        <v>0.14799999999999996</v>
      </c>
      <c r="Z33">
        <v>0.5</v>
      </c>
      <c r="AA33">
        <v>0</v>
      </c>
      <c r="AB33">
        <v>3.6736175731057794E-2</v>
      </c>
      <c r="AC33">
        <v>0</v>
      </c>
      <c r="AD33">
        <v>0</v>
      </c>
      <c r="AE33">
        <v>0</v>
      </c>
      <c r="AG33">
        <f t="array" ref="AG33:AH33">T1T2(T33,S33,V33,X33,Y33)</f>
        <v>0.78191299311404228</v>
      </c>
      <c r="AH33">
        <v>0.10599644810853288</v>
      </c>
      <c r="AJ33">
        <f t="array" ref="AJ33:AM33">Canay(T33,AB33,S33,V33,AG33,AH33)</f>
        <v>0.33097166739194372</v>
      </c>
      <c r="AK33">
        <v>0.22243794861411464</v>
      </c>
      <c r="AL33">
        <v>2.9201237449888566</v>
      </c>
      <c r="AM33">
        <v>0.27953275990193605</v>
      </c>
      <c r="AO33" s="1">
        <f t="array" ref="AO33:AR33">Niipt(T33,AB33,S33,V33,X33,Y33)</f>
        <v>0.32891745050551402</v>
      </c>
      <c r="AP33" s="1">
        <v>0.21466998394989331</v>
      </c>
      <c r="AQ33" s="1">
        <v>2.9708428274496348</v>
      </c>
      <c r="AR33" s="1">
        <v>0.29284970276173472</v>
      </c>
      <c r="AT33" s="1">
        <f t="shared" si="1"/>
        <v>0.62066245809405107</v>
      </c>
      <c r="AU33" s="1">
        <f t="shared" si="2"/>
        <v>3.492193986061793</v>
      </c>
      <c r="AV33" s="1">
        <f t="shared" si="3"/>
        <v>-1.736881272508255</v>
      </c>
      <c r="AW33" s="1">
        <f t="shared" si="4"/>
        <v>-4.7640007791825338</v>
      </c>
    </row>
    <row r="34" spans="1:49" x14ac:dyDescent="0.25">
      <c r="A34" t="s">
        <v>31</v>
      </c>
      <c r="B34" t="s">
        <v>31</v>
      </c>
      <c r="C34">
        <v>60102913</v>
      </c>
      <c r="D34" t="s">
        <v>66</v>
      </c>
      <c r="E34">
        <v>60102913</v>
      </c>
      <c r="F34" t="s">
        <v>34</v>
      </c>
      <c r="G34">
        <v>0</v>
      </c>
      <c r="H34">
        <v>1</v>
      </c>
      <c r="I34">
        <v>60101008</v>
      </c>
      <c r="J34">
        <v>0</v>
      </c>
      <c r="K34">
        <v>0</v>
      </c>
      <c r="L34">
        <v>63.811366910235996</v>
      </c>
      <c r="M34">
        <v>23.756246505749701</v>
      </c>
      <c r="N34">
        <v>65</v>
      </c>
      <c r="O34">
        <v>6.3</v>
      </c>
      <c r="P34">
        <v>0.8</v>
      </c>
      <c r="Q34">
        <v>1</v>
      </c>
      <c r="R34">
        <v>6.39</v>
      </c>
      <c r="S34">
        <v>0.14166276923076901</v>
      </c>
      <c r="T34">
        <v>1.06344775384615</v>
      </c>
      <c r="U34">
        <v>1.1132739692307698</v>
      </c>
      <c r="V34">
        <v>9.4767507692307684E-2</v>
      </c>
      <c r="W34">
        <v>9.9163938461538481E-2</v>
      </c>
      <c r="X34">
        <v>6.11</v>
      </c>
      <c r="Y34">
        <v>0.2</v>
      </c>
      <c r="Z34">
        <v>0.5</v>
      </c>
      <c r="AA34">
        <v>0</v>
      </c>
      <c r="AB34">
        <v>5.1291692307692295E-2</v>
      </c>
      <c r="AC34">
        <v>0</v>
      </c>
      <c r="AD34">
        <v>0</v>
      </c>
      <c r="AE34">
        <v>0</v>
      </c>
      <c r="AG34">
        <f t="array" ref="AG34:AH34">T1T2(T34,S34,V34,X34,Y34)</f>
        <v>0.74928207744879916</v>
      </c>
      <c r="AH34">
        <v>0.14533464771021451</v>
      </c>
      <c r="AJ34">
        <f t="array" ref="AJ34:AM34">Canay(T34,AB34,S34,V34,AG34,AH34)</f>
        <v>0.23713732301285992</v>
      </c>
      <c r="AK34">
        <v>0.12308985307154546</v>
      </c>
      <c r="AL34">
        <v>0.71199178480277803</v>
      </c>
      <c r="AM34">
        <v>7.1998608621275439E-2</v>
      </c>
      <c r="AO34" s="1">
        <f t="array" ref="AO34:AR34">Niipt(T34,AB34,S34,V34,X34,Y34)</f>
        <v>0.23851230147756572</v>
      </c>
      <c r="AP34" s="1">
        <v>9.9230986425339132E-2</v>
      </c>
      <c r="AQ34" s="1">
        <v>0.66406913496478259</v>
      </c>
      <c r="AR34" s="1">
        <v>8.378151923076943E-2</v>
      </c>
      <c r="AT34" s="1">
        <f t="shared" si="1"/>
        <v>-0.57982372712845198</v>
      </c>
      <c r="AU34" s="1">
        <f t="shared" si="2"/>
        <v>19.383292814833784</v>
      </c>
      <c r="AV34" s="1">
        <f t="shared" si="3"/>
        <v>6.7307869080638376</v>
      </c>
      <c r="AW34" s="1">
        <f t="shared" si="4"/>
        <v>-16.365469882166813</v>
      </c>
    </row>
    <row r="35" spans="1:49" x14ac:dyDescent="0.25">
      <c r="A35" t="s">
        <v>31</v>
      </c>
      <c r="B35" t="s">
        <v>31</v>
      </c>
      <c r="C35">
        <v>60102921</v>
      </c>
      <c r="D35" t="s">
        <v>67</v>
      </c>
      <c r="E35">
        <v>60102921</v>
      </c>
      <c r="F35" t="s">
        <v>34</v>
      </c>
      <c r="G35">
        <v>0</v>
      </c>
      <c r="H35">
        <v>1</v>
      </c>
      <c r="I35">
        <v>60101011</v>
      </c>
      <c r="J35">
        <v>0</v>
      </c>
      <c r="K35">
        <v>0</v>
      </c>
      <c r="L35">
        <v>120.26766386784098</v>
      </c>
      <c r="M35">
        <v>58.081784728832595</v>
      </c>
      <c r="N35">
        <v>210</v>
      </c>
      <c r="O35">
        <v>15.75</v>
      </c>
      <c r="P35">
        <v>0.85</v>
      </c>
      <c r="Q35">
        <v>1</v>
      </c>
      <c r="R35">
        <v>8.41</v>
      </c>
      <c r="S35">
        <v>0.339373125</v>
      </c>
      <c r="T35">
        <v>1.9990884375</v>
      </c>
      <c r="U35">
        <v>1.79928</v>
      </c>
      <c r="V35">
        <v>0.26808468749999992</v>
      </c>
      <c r="W35">
        <v>0.40162500000000001</v>
      </c>
      <c r="X35">
        <v>6.47</v>
      </c>
      <c r="Y35">
        <v>0.13699999999999998</v>
      </c>
      <c r="Z35">
        <v>0.24199999999999997</v>
      </c>
      <c r="AA35">
        <v>0</v>
      </c>
      <c r="AB35">
        <v>0.22390593749999999</v>
      </c>
      <c r="AC35">
        <v>0</v>
      </c>
      <c r="AD35">
        <v>0</v>
      </c>
      <c r="AE35">
        <v>0</v>
      </c>
      <c r="AG35">
        <f t="array" ref="AG35:AH35">T1T2(T35,S35,V35,X35,Y35)</f>
        <v>1.073382307525127</v>
      </c>
      <c r="AH35">
        <v>0.11074150378254433</v>
      </c>
      <c r="AJ35">
        <f t="array" ref="AJ35:AM35">Canay(T35,AB35,S35,V35,AG35,AH35)</f>
        <v>0.37764349976546335</v>
      </c>
      <c r="AK35">
        <v>0.17040931637628898</v>
      </c>
      <c r="AL35">
        <v>1.2624086741572704</v>
      </c>
      <c r="AM35">
        <v>6.1714030831011991E-2</v>
      </c>
      <c r="AO35" s="1">
        <f t="array" ref="AO35:AR35">Niipt(T35,AB35,S35,V35,X35,Y35)</f>
        <v>0.39776319152141676</v>
      </c>
      <c r="AP35" s="1">
        <v>0.12350029491833031</v>
      </c>
      <c r="AQ35" s="1">
        <v>1.0071659962932267</v>
      </c>
      <c r="AR35" s="1">
        <v>7.155713028168996E-2</v>
      </c>
      <c r="AT35" s="1">
        <f t="shared" si="1"/>
        <v>-5.3276944442175758</v>
      </c>
      <c r="AU35" s="1">
        <f t="shared" si="2"/>
        <v>27.527263447484646</v>
      </c>
      <c r="AV35" s="1">
        <f t="shared" si="3"/>
        <v>20.218704377521231</v>
      </c>
      <c r="AW35" s="1">
        <f t="shared" si="4"/>
        <v>-15.949532574903049</v>
      </c>
    </row>
    <row r="36" spans="1:49" x14ac:dyDescent="0.25">
      <c r="A36" t="s">
        <v>31</v>
      </c>
      <c r="B36" t="s">
        <v>31</v>
      </c>
      <c r="C36">
        <v>60102922</v>
      </c>
      <c r="D36" t="s">
        <v>68</v>
      </c>
      <c r="E36">
        <v>60102922</v>
      </c>
      <c r="F36" t="s">
        <v>34</v>
      </c>
      <c r="G36">
        <v>0</v>
      </c>
      <c r="H36">
        <v>1</v>
      </c>
      <c r="I36">
        <v>60101012</v>
      </c>
      <c r="J36">
        <v>0</v>
      </c>
      <c r="K36">
        <v>0</v>
      </c>
      <c r="L36">
        <v>142.00751028356001</v>
      </c>
      <c r="M36">
        <v>93.276533030806789</v>
      </c>
      <c r="N36">
        <v>210</v>
      </c>
      <c r="O36">
        <v>15.75</v>
      </c>
      <c r="P36">
        <v>0.85</v>
      </c>
      <c r="Q36">
        <v>1</v>
      </c>
      <c r="R36">
        <v>8.14</v>
      </c>
      <c r="S36">
        <v>0.339373125</v>
      </c>
      <c r="T36">
        <v>1.9990884375</v>
      </c>
      <c r="U36">
        <v>1.79928</v>
      </c>
      <c r="V36">
        <v>0.26808468749999992</v>
      </c>
      <c r="W36">
        <v>0.40162500000000001</v>
      </c>
      <c r="X36">
        <v>6.47</v>
      </c>
      <c r="Y36">
        <v>0.13699999999999998</v>
      </c>
      <c r="Z36">
        <v>0.24199999999999997</v>
      </c>
      <c r="AA36">
        <v>0</v>
      </c>
      <c r="AB36">
        <v>0.22390593749999999</v>
      </c>
      <c r="AC36">
        <v>0</v>
      </c>
      <c r="AD36">
        <v>0</v>
      </c>
      <c r="AE36">
        <v>0</v>
      </c>
      <c r="AG36">
        <f t="array" ref="AG36:AH36">T1T2(T36,S36,V36,X36,Y36)</f>
        <v>1.073382307525127</v>
      </c>
      <c r="AH36">
        <v>0.11074150378254433</v>
      </c>
      <c r="AJ36">
        <f t="array" ref="AJ36:AM36">Canay(T36,AB36,S36,V36,AG36,AH36)</f>
        <v>0.37764349976546335</v>
      </c>
      <c r="AK36">
        <v>0.17040931637628898</v>
      </c>
      <c r="AL36">
        <v>1.2624086741572704</v>
      </c>
      <c r="AM36">
        <v>6.1714030831011991E-2</v>
      </c>
      <c r="AO36" s="1">
        <f t="array" ref="AO36:AR36">Niipt(T36,AB36,S36,V36,X36,Y36)</f>
        <v>0.39776319152141676</v>
      </c>
      <c r="AP36" s="1">
        <v>0.12350029491833031</v>
      </c>
      <c r="AQ36" s="1">
        <v>1.0071659962932267</v>
      </c>
      <c r="AR36" s="1">
        <v>7.155713028168996E-2</v>
      </c>
      <c r="AT36" s="1">
        <f t="shared" si="1"/>
        <v>-5.3276944442175758</v>
      </c>
      <c r="AU36" s="1">
        <f t="shared" si="2"/>
        <v>27.527263447484646</v>
      </c>
      <c r="AV36" s="1">
        <f t="shared" si="3"/>
        <v>20.218704377521231</v>
      </c>
      <c r="AW36" s="1">
        <f t="shared" si="4"/>
        <v>-15.949532574903049</v>
      </c>
    </row>
    <row r="37" spans="1:49" x14ac:dyDescent="0.25">
      <c r="A37" t="s">
        <v>31</v>
      </c>
      <c r="B37" t="s">
        <v>31</v>
      </c>
      <c r="C37">
        <v>60102920</v>
      </c>
      <c r="D37" t="s">
        <v>69</v>
      </c>
      <c r="E37">
        <v>60102920</v>
      </c>
      <c r="F37" t="s">
        <v>34</v>
      </c>
      <c r="G37">
        <v>0</v>
      </c>
      <c r="H37">
        <v>1</v>
      </c>
      <c r="I37">
        <v>60101010</v>
      </c>
      <c r="J37">
        <v>0</v>
      </c>
      <c r="K37">
        <v>0</v>
      </c>
      <c r="L37">
        <v>35.431287372061</v>
      </c>
      <c r="M37">
        <v>53.435907242590702</v>
      </c>
      <c r="N37">
        <v>100</v>
      </c>
      <c r="O37">
        <v>10.5</v>
      </c>
      <c r="P37">
        <v>0.8</v>
      </c>
      <c r="Q37">
        <v>1</v>
      </c>
      <c r="R37">
        <v>6.53</v>
      </c>
      <c r="S37">
        <v>0.245196</v>
      </c>
      <c r="T37">
        <v>1.6819740000000001</v>
      </c>
      <c r="U37">
        <v>1.513512</v>
      </c>
      <c r="V37">
        <v>0.16934399999999997</v>
      </c>
      <c r="W37">
        <v>0.18610199999999999</v>
      </c>
      <c r="X37">
        <v>6.45</v>
      </c>
      <c r="Y37">
        <v>0.17</v>
      </c>
      <c r="Z37">
        <v>0.5</v>
      </c>
      <c r="AA37">
        <v>0</v>
      </c>
      <c r="AB37">
        <v>0.15346799999999997</v>
      </c>
      <c r="AC37">
        <v>0</v>
      </c>
      <c r="AD37">
        <v>0</v>
      </c>
      <c r="AE37">
        <v>0</v>
      </c>
      <c r="AG37">
        <f t="array" ref="AG37:AH37">T1T2(T37,S37,V37,X37,Y37)</f>
        <v>0.89153895068382283</v>
      </c>
      <c r="AH37">
        <v>0.12382799750122914</v>
      </c>
      <c r="AJ37">
        <f t="array" ref="AJ37:AM37">Canay(T37,AB37,S37,V37,AG37,AH37)</f>
        <v>0.39577769453488559</v>
      </c>
      <c r="AK37">
        <v>0.16856128292204872</v>
      </c>
      <c r="AL37">
        <v>0.66303175216577293</v>
      </c>
      <c r="AM37">
        <v>1.7730067610125886E-2</v>
      </c>
      <c r="AO37" s="1">
        <f t="array" ref="AO37:AR37">Niipt(T37,AB37,S37,V37,X37,Y37)</f>
        <v>0</v>
      </c>
      <c r="AP37" s="1">
        <v>0</v>
      </c>
      <c r="AQ37" s="1">
        <v>0</v>
      </c>
      <c r="AR37" s="1">
        <v>0</v>
      </c>
      <c r="AT37" s="1">
        <f t="shared" si="1"/>
        <v>0</v>
      </c>
      <c r="AU37" s="1">
        <f t="shared" si="2"/>
        <v>0</v>
      </c>
      <c r="AV37" s="1">
        <f t="shared" si="3"/>
        <v>0</v>
      </c>
      <c r="AW37" s="1">
        <f t="shared" si="4"/>
        <v>0</v>
      </c>
    </row>
    <row r="38" spans="1:49" x14ac:dyDescent="0.25">
      <c r="A38" t="s">
        <v>31</v>
      </c>
      <c r="B38" t="s">
        <v>31</v>
      </c>
      <c r="C38">
        <v>60101914</v>
      </c>
      <c r="D38" t="s">
        <v>70</v>
      </c>
      <c r="E38">
        <v>60101914</v>
      </c>
      <c r="F38" t="s">
        <v>34</v>
      </c>
      <c r="G38">
        <v>0</v>
      </c>
      <c r="H38">
        <v>1</v>
      </c>
      <c r="I38">
        <v>60101006</v>
      </c>
      <c r="J38">
        <v>0</v>
      </c>
      <c r="K38">
        <v>0</v>
      </c>
      <c r="L38">
        <v>80.167604323983298</v>
      </c>
      <c r="M38">
        <v>55.452584664720398</v>
      </c>
      <c r="N38">
        <v>100</v>
      </c>
      <c r="O38">
        <v>10.5</v>
      </c>
      <c r="P38">
        <v>0.8</v>
      </c>
      <c r="Q38">
        <v>1</v>
      </c>
      <c r="R38">
        <v>8.06</v>
      </c>
      <c r="S38">
        <v>0.27694800000000003</v>
      </c>
      <c r="T38">
        <v>1.9051199999999997</v>
      </c>
      <c r="U38">
        <v>1.513512</v>
      </c>
      <c r="V38">
        <v>0.188748</v>
      </c>
      <c r="W38">
        <v>0.18610199999999999</v>
      </c>
      <c r="X38">
        <v>6.45</v>
      </c>
      <c r="Y38">
        <v>0.17</v>
      </c>
      <c r="Z38">
        <v>0.5</v>
      </c>
      <c r="AA38">
        <v>0</v>
      </c>
      <c r="AB38">
        <v>0.14729400000000001</v>
      </c>
      <c r="AC38">
        <v>0</v>
      </c>
      <c r="AD38">
        <v>0</v>
      </c>
      <c r="AE38">
        <v>0</v>
      </c>
      <c r="AG38">
        <f t="array" ref="AG38:AH38">T1T2(T38,S38,V38,X38,Y38)</f>
        <v>0.88734598021015865</v>
      </c>
      <c r="AH38">
        <v>0.12242656713956514</v>
      </c>
      <c r="AJ38">
        <f t="array" ref="AJ38:AM38">Canay(T38,AB38,S38,V38,AG38,AH38)</f>
        <v>0.40358367458735767</v>
      </c>
      <c r="AK38">
        <v>0.19635324713406063</v>
      </c>
      <c r="AL38">
        <v>1.0191572325553238</v>
      </c>
      <c r="AM38">
        <v>5.416713787748903E-2</v>
      </c>
      <c r="AO38" s="1">
        <f t="array" ref="AO38:AR38">Niipt(T38,AB38,S38,V38,X38,Y38)</f>
        <v>0.47305849627980662</v>
      </c>
      <c r="AP38" s="1">
        <v>0.13997856013001087</v>
      </c>
      <c r="AQ38" s="1">
        <v>0.69731861275541085</v>
      </c>
      <c r="AR38" s="1">
        <v>6.0937379999999965E-2</v>
      </c>
      <c r="AT38" s="1">
        <f t="shared" si="1"/>
        <v>-17.214477707375845</v>
      </c>
      <c r="AU38" s="1">
        <f t="shared" si="2"/>
        <v>28.710850381587942</v>
      </c>
      <c r="AV38" s="1">
        <f t="shared" si="3"/>
        <v>31.578897693044855</v>
      </c>
      <c r="AW38" s="1">
        <f t="shared" si="4"/>
        <v>-12.498799803348176</v>
      </c>
    </row>
    <row r="39" spans="1:49" x14ac:dyDescent="0.25">
      <c r="A39" t="s">
        <v>31</v>
      </c>
      <c r="B39" t="s">
        <v>31</v>
      </c>
      <c r="C39">
        <v>60101915</v>
      </c>
      <c r="D39" t="s">
        <v>71</v>
      </c>
      <c r="E39">
        <v>60101915</v>
      </c>
      <c r="F39" t="s">
        <v>34</v>
      </c>
      <c r="G39">
        <v>0</v>
      </c>
      <c r="H39">
        <v>1</v>
      </c>
      <c r="I39">
        <v>60101007</v>
      </c>
      <c r="J39">
        <v>0</v>
      </c>
      <c r="K39">
        <v>0</v>
      </c>
      <c r="L39">
        <v>88.816014483873403</v>
      </c>
      <c r="M39">
        <v>56.664202641345597</v>
      </c>
      <c r="N39">
        <v>110</v>
      </c>
      <c r="O39">
        <v>10.5</v>
      </c>
      <c r="P39">
        <v>0.8</v>
      </c>
      <c r="Q39">
        <v>1</v>
      </c>
      <c r="R39">
        <v>7.24</v>
      </c>
      <c r="S39">
        <v>0.217292727272727</v>
      </c>
      <c r="T39">
        <v>1.63330363636364</v>
      </c>
      <c r="U39">
        <v>1.4721381818181798</v>
      </c>
      <c r="V39">
        <v>0.15154363636363596</v>
      </c>
      <c r="W39">
        <v>0.16677818181818196</v>
      </c>
      <c r="X39">
        <v>6.7</v>
      </c>
      <c r="Y39">
        <v>0.16</v>
      </c>
      <c r="Z39">
        <v>0.5</v>
      </c>
      <c r="AA39">
        <v>0</v>
      </c>
      <c r="AB39">
        <v>0.12267818181818201</v>
      </c>
      <c r="AC39">
        <v>0</v>
      </c>
      <c r="AD39">
        <v>0</v>
      </c>
      <c r="AE39">
        <v>0</v>
      </c>
      <c r="AG39">
        <f t="array" ref="AG39:AH39">T1T2(T39,S39,V39,X39,Y39)</f>
        <v>0.84599530488956864</v>
      </c>
      <c r="AH39">
        <v>0.11757029495424461</v>
      </c>
      <c r="AJ39">
        <f t="array" ref="AJ39:AM39">Canay(T39,AB39,S39,V39,AG39,AH39)</f>
        <v>0.33950764131598832</v>
      </c>
      <c r="AK39">
        <v>0.14868448210962945</v>
      </c>
      <c r="AL39">
        <v>0.78440407888889452</v>
      </c>
      <c r="AM39">
        <v>3.6689360324024083E-2</v>
      </c>
      <c r="AO39" s="1">
        <f t="array" ref="AO39:AR39">Niipt(T39,AB39,S39,V39,X39,Y39)</f>
        <v>0</v>
      </c>
      <c r="AP39" s="1">
        <v>0</v>
      </c>
      <c r="AQ39" s="1">
        <v>0</v>
      </c>
      <c r="AR39" s="1">
        <v>0</v>
      </c>
      <c r="AT39" s="1">
        <f t="shared" si="1"/>
        <v>0</v>
      </c>
      <c r="AU39" s="1">
        <f t="shared" si="2"/>
        <v>0</v>
      </c>
      <c r="AV39" s="1">
        <f t="shared" si="3"/>
        <v>0</v>
      </c>
      <c r="AW39" s="1">
        <f t="shared" si="4"/>
        <v>0</v>
      </c>
    </row>
    <row r="40" spans="1:49" x14ac:dyDescent="0.25">
      <c r="A40" t="s">
        <v>31</v>
      </c>
      <c r="B40" t="s">
        <v>32</v>
      </c>
      <c r="C40">
        <v>60101913</v>
      </c>
      <c r="D40" t="s">
        <v>72</v>
      </c>
      <c r="E40">
        <v>60101913</v>
      </c>
      <c r="F40" t="s">
        <v>34</v>
      </c>
      <c r="G40">
        <v>0</v>
      </c>
      <c r="H40">
        <v>1</v>
      </c>
      <c r="I40">
        <v>60101005</v>
      </c>
      <c r="J40">
        <v>0</v>
      </c>
      <c r="K40">
        <v>0</v>
      </c>
      <c r="L40">
        <v>0.16177989071338397</v>
      </c>
      <c r="M40">
        <v>0</v>
      </c>
      <c r="N40">
        <v>60</v>
      </c>
      <c r="O40">
        <v>6.3</v>
      </c>
      <c r="P40">
        <v>0.85</v>
      </c>
      <c r="Q40">
        <v>1</v>
      </c>
      <c r="R40">
        <v>7.8</v>
      </c>
      <c r="S40">
        <v>0.17430524999999997</v>
      </c>
      <c r="T40">
        <v>0.97835850000000002</v>
      </c>
      <c r="U40">
        <v>0.81473647500000002</v>
      </c>
      <c r="V40">
        <v>0.11807775</v>
      </c>
      <c r="W40">
        <v>0.12032685</v>
      </c>
      <c r="X40">
        <v>4.5999999999999988</v>
      </c>
      <c r="Y40">
        <v>0.153</v>
      </c>
      <c r="Z40">
        <v>0.5</v>
      </c>
      <c r="AA40">
        <v>0</v>
      </c>
      <c r="AB40">
        <v>9.5586749999999984E-2</v>
      </c>
      <c r="AC40">
        <v>0</v>
      </c>
      <c r="AD40">
        <v>0</v>
      </c>
      <c r="AE40">
        <v>0</v>
      </c>
      <c r="AG40">
        <f t="array" ref="AG40:AH40">T1T2(T40,S40,V40,X40,Y40)</f>
        <v>0.7750890089071274</v>
      </c>
      <c r="AH40">
        <v>0.10958919341420129</v>
      </c>
      <c r="AJ40">
        <f t="array" ref="AJ40:AM40">Canay(T40,AB40,S40,V40,AG40,AH40)</f>
        <v>0.29783953463274121</v>
      </c>
      <c r="AK40">
        <v>0.12612670771835227</v>
      </c>
      <c r="AL40">
        <v>0.66711518261994063</v>
      </c>
      <c r="AM40">
        <v>2.8247870349409451E-2</v>
      </c>
      <c r="AO40" s="1">
        <f t="array" ref="AO40:AR40">Niipt(T40,AB40,S40,V40,X40,Y40)</f>
        <v>0</v>
      </c>
      <c r="AP40" s="1">
        <v>0</v>
      </c>
      <c r="AQ40" s="1">
        <v>0</v>
      </c>
      <c r="AR40" s="1">
        <v>0</v>
      </c>
      <c r="AT40" s="1">
        <f t="shared" si="1"/>
        <v>0</v>
      </c>
      <c r="AU40" s="1">
        <f t="shared" si="2"/>
        <v>0</v>
      </c>
      <c r="AV40" s="1">
        <f t="shared" si="3"/>
        <v>0</v>
      </c>
      <c r="AW40" s="1">
        <f t="shared" si="4"/>
        <v>0</v>
      </c>
    </row>
    <row r="41" spans="1:49" x14ac:dyDescent="0.25">
      <c r="A41" t="s">
        <v>31</v>
      </c>
      <c r="B41" t="s">
        <v>31</v>
      </c>
      <c r="C41">
        <v>60101911</v>
      </c>
      <c r="D41" t="s">
        <v>73</v>
      </c>
      <c r="E41">
        <v>60101911</v>
      </c>
      <c r="F41" t="s">
        <v>34</v>
      </c>
      <c r="G41">
        <v>0</v>
      </c>
      <c r="H41">
        <v>1</v>
      </c>
      <c r="I41">
        <v>60101003</v>
      </c>
      <c r="J41">
        <v>0</v>
      </c>
      <c r="K41">
        <v>0</v>
      </c>
      <c r="L41">
        <v>31.994541721165696</v>
      </c>
      <c r="M41">
        <v>49.41106417953349</v>
      </c>
      <c r="N41">
        <v>60</v>
      </c>
      <c r="O41">
        <v>6.3</v>
      </c>
      <c r="P41">
        <v>0.85</v>
      </c>
      <c r="Q41">
        <v>1</v>
      </c>
      <c r="R41">
        <v>7.75</v>
      </c>
      <c r="S41">
        <v>0.17430524999999997</v>
      </c>
      <c r="T41">
        <v>0.97835850000000002</v>
      </c>
      <c r="U41">
        <v>0.81473647500000002</v>
      </c>
      <c r="V41">
        <v>0.11807775</v>
      </c>
      <c r="W41">
        <v>0.12032685</v>
      </c>
      <c r="X41">
        <v>4.5999999999999988</v>
      </c>
      <c r="Y41">
        <v>0.153</v>
      </c>
      <c r="Z41">
        <v>0.5</v>
      </c>
      <c r="AA41">
        <v>0</v>
      </c>
      <c r="AB41">
        <v>9.5586749999999984E-2</v>
      </c>
      <c r="AC41">
        <v>0</v>
      </c>
      <c r="AD41">
        <v>0</v>
      </c>
      <c r="AE41">
        <v>0</v>
      </c>
      <c r="AG41">
        <f t="array" ref="AG41:AH41">T1T2(T41,S41,V41,X41,Y41)</f>
        <v>0.7750890089071274</v>
      </c>
      <c r="AH41">
        <v>0.10958919341420129</v>
      </c>
      <c r="AJ41">
        <f t="array" ref="AJ41:AM41">Canay(T41,AB41,S41,V41,AG41,AH41)</f>
        <v>0.29783953463274121</v>
      </c>
      <c r="AK41">
        <v>0.12612670771835227</v>
      </c>
      <c r="AL41">
        <v>0.66711518261994063</v>
      </c>
      <c r="AM41">
        <v>2.8247870349409451E-2</v>
      </c>
      <c r="AO41" s="1">
        <f t="array" ref="AO41:AR41">Niipt(T41,AB41,S41,V41,X41,Y41)</f>
        <v>0</v>
      </c>
      <c r="AP41" s="1">
        <v>0</v>
      </c>
      <c r="AQ41" s="1">
        <v>0</v>
      </c>
      <c r="AR41" s="1">
        <v>0</v>
      </c>
      <c r="AT41" s="1">
        <f t="shared" si="1"/>
        <v>0</v>
      </c>
      <c r="AU41" s="1">
        <f t="shared" si="2"/>
        <v>0</v>
      </c>
      <c r="AV41" s="1">
        <f t="shared" si="3"/>
        <v>0</v>
      </c>
      <c r="AW41" s="1">
        <f t="shared" si="4"/>
        <v>0</v>
      </c>
    </row>
    <row r="42" spans="1:49" x14ac:dyDescent="0.25">
      <c r="A42" t="s">
        <v>31</v>
      </c>
      <c r="B42" t="s">
        <v>31</v>
      </c>
      <c r="C42">
        <v>60101910</v>
      </c>
      <c r="D42" t="s">
        <v>74</v>
      </c>
      <c r="E42">
        <v>60101910</v>
      </c>
      <c r="F42" t="s">
        <v>34</v>
      </c>
      <c r="G42">
        <v>0</v>
      </c>
      <c r="H42">
        <v>1</v>
      </c>
      <c r="I42">
        <v>60101001</v>
      </c>
      <c r="J42">
        <v>0</v>
      </c>
      <c r="K42">
        <v>0</v>
      </c>
      <c r="L42">
        <v>18.712140909335901</v>
      </c>
      <c r="M42">
        <v>15.029085715760298</v>
      </c>
      <c r="N42">
        <v>30</v>
      </c>
      <c r="O42">
        <v>6.3</v>
      </c>
      <c r="P42">
        <v>0.8</v>
      </c>
      <c r="Q42">
        <v>1</v>
      </c>
      <c r="R42">
        <v>9.26</v>
      </c>
      <c r="S42">
        <v>0.25401600000000002</v>
      </c>
      <c r="T42">
        <v>2.4766560000000002</v>
      </c>
      <c r="U42">
        <v>2.4766560000000002</v>
      </c>
      <c r="V42">
        <v>0.15664319999999998</v>
      </c>
      <c r="W42">
        <v>0.232848</v>
      </c>
      <c r="X42">
        <v>10</v>
      </c>
      <c r="Y42">
        <v>0.2</v>
      </c>
      <c r="Z42">
        <v>0.5</v>
      </c>
      <c r="AA42">
        <v>0</v>
      </c>
      <c r="AB42">
        <v>0.1301832</v>
      </c>
      <c r="AC42">
        <v>0</v>
      </c>
      <c r="AD42">
        <v>0</v>
      </c>
      <c r="AE42">
        <v>0</v>
      </c>
      <c r="AG42">
        <f t="array" ref="AG42:AH42">T1T2(T42,S42,V42,X42,Y42)</f>
        <v>0.94969509915116612</v>
      </c>
      <c r="AH42">
        <v>0.1331961453826474</v>
      </c>
      <c r="AJ42">
        <f t="array" ref="AJ42:AM42">Canay(T42,AB42,S42,V42,AG42,AH42)</f>
        <v>0.36474375063287667</v>
      </c>
      <c r="AK42">
        <v>0.1951044320059124</v>
      </c>
      <c r="AL42">
        <v>0.73563590061614959</v>
      </c>
      <c r="AM42">
        <v>3.1016154507457514E-2</v>
      </c>
      <c r="AO42" s="1">
        <f t="array" ref="AO42:AR42">Niipt(T42,AB42,S42,V42,X42,Y42)</f>
        <v>0</v>
      </c>
      <c r="AP42" s="1">
        <v>0</v>
      </c>
      <c r="AQ42" s="1">
        <v>0</v>
      </c>
      <c r="AR42" s="1">
        <v>0</v>
      </c>
      <c r="AT42" s="1">
        <f t="shared" si="1"/>
        <v>0</v>
      </c>
      <c r="AU42" s="1">
        <f t="shared" si="2"/>
        <v>0</v>
      </c>
      <c r="AV42" s="1">
        <f t="shared" si="3"/>
        <v>0</v>
      </c>
      <c r="AW42" s="1">
        <f t="shared" si="4"/>
        <v>0</v>
      </c>
    </row>
    <row r="43" spans="1:49" x14ac:dyDescent="0.25">
      <c r="A43" t="s">
        <v>31</v>
      </c>
      <c r="B43" t="s">
        <v>31</v>
      </c>
      <c r="C43">
        <v>60102932</v>
      </c>
      <c r="D43" t="s">
        <v>75</v>
      </c>
      <c r="E43">
        <v>60102932</v>
      </c>
      <c r="F43" t="s">
        <v>34</v>
      </c>
      <c r="G43">
        <v>0</v>
      </c>
      <c r="H43">
        <v>1</v>
      </c>
      <c r="I43">
        <v>60101022</v>
      </c>
      <c r="J43">
        <v>0</v>
      </c>
      <c r="K43">
        <v>0</v>
      </c>
      <c r="L43">
        <v>63.840721321899494</v>
      </c>
      <c r="M43">
        <v>45.155899639500099</v>
      </c>
      <c r="N43">
        <v>110</v>
      </c>
      <c r="O43">
        <v>10.5</v>
      </c>
      <c r="P43">
        <v>0.8</v>
      </c>
      <c r="Q43">
        <v>1</v>
      </c>
      <c r="R43">
        <v>5.47</v>
      </c>
      <c r="S43">
        <v>0.217292727272727</v>
      </c>
      <c r="T43">
        <v>1.63330363636364</v>
      </c>
      <c r="U43">
        <v>1.4721381818181798</v>
      </c>
      <c r="V43">
        <v>0.15154363636363596</v>
      </c>
      <c r="W43">
        <v>0.16677818181818196</v>
      </c>
      <c r="X43">
        <v>6.07</v>
      </c>
      <c r="Y43">
        <v>0.16</v>
      </c>
      <c r="Z43">
        <v>0.5</v>
      </c>
      <c r="AA43">
        <v>0</v>
      </c>
      <c r="AB43">
        <v>0.11466</v>
      </c>
      <c r="AC43">
        <v>0</v>
      </c>
      <c r="AD43">
        <v>0</v>
      </c>
      <c r="AE43">
        <v>0</v>
      </c>
      <c r="AG43">
        <f t="array" ref="AG43:AH43">T1T2(T43,S43,V43,X43,Y43)</f>
        <v>0.76177186865981272</v>
      </c>
      <c r="AH43">
        <v>0.11829176675258202</v>
      </c>
      <c r="AJ43">
        <f t="array" ref="AJ43:AM43">Canay(T43,AB43,S43,V43,AG43,AH43)</f>
        <v>0.37614064374163414</v>
      </c>
      <c r="AK43">
        <v>0.15796763098259528</v>
      </c>
      <c r="AL43">
        <v>0.88476906265893907</v>
      </c>
      <c r="AM43">
        <v>4.9693389190890967E-2</v>
      </c>
      <c r="AO43" s="1">
        <f t="array" ref="AO43:AR43">Niipt(T43,AB43,S43,V43,X43,Y43)</f>
        <v>0.46539396918408998</v>
      </c>
      <c r="AP43" s="1">
        <v>0.11007156594255089</v>
      </c>
      <c r="AQ43" s="1">
        <v>0.5772948883308503</v>
      </c>
      <c r="AR43" s="1">
        <v>5.7574456762748555E-2</v>
      </c>
      <c r="AT43" s="1">
        <f t="shared" si="1"/>
        <v>-23.728710770156159</v>
      </c>
      <c r="AU43" s="1">
        <f t="shared" si="2"/>
        <v>30.320176824910117</v>
      </c>
      <c r="AV43" s="1">
        <f t="shared" si="3"/>
        <v>34.751912934665299</v>
      </c>
      <c r="AW43" s="1">
        <f t="shared" si="4"/>
        <v>-15.859388341542671</v>
      </c>
    </row>
    <row r="44" spans="1:49" x14ac:dyDescent="0.25">
      <c r="A44" t="s">
        <v>31</v>
      </c>
      <c r="B44" t="s">
        <v>32</v>
      </c>
      <c r="C44">
        <v>60102930</v>
      </c>
      <c r="D44" t="s">
        <v>76</v>
      </c>
      <c r="E44">
        <v>60102930</v>
      </c>
      <c r="F44" t="s">
        <v>34</v>
      </c>
      <c r="G44">
        <v>0</v>
      </c>
      <c r="H44">
        <v>1</v>
      </c>
      <c r="I44">
        <v>60101020</v>
      </c>
      <c r="J44">
        <v>0</v>
      </c>
      <c r="K44">
        <v>0</v>
      </c>
      <c r="L44">
        <v>0</v>
      </c>
      <c r="M44">
        <v>0</v>
      </c>
      <c r="N44">
        <v>63</v>
      </c>
      <c r="O44">
        <v>6.3</v>
      </c>
      <c r="P44">
        <v>0.8</v>
      </c>
      <c r="Q44">
        <v>1</v>
      </c>
      <c r="R44">
        <v>8.26</v>
      </c>
      <c r="S44">
        <v>0.1386</v>
      </c>
      <c r="T44">
        <v>0.96516000000000002</v>
      </c>
      <c r="U44">
        <v>0.86839199999999994</v>
      </c>
      <c r="V44">
        <v>9.0719999999999981E-2</v>
      </c>
      <c r="W44">
        <v>9.9792000000000006E-2</v>
      </c>
      <c r="X44">
        <v>6.09</v>
      </c>
      <c r="Y44">
        <v>0.16700000000000001</v>
      </c>
      <c r="Z44">
        <v>0.5</v>
      </c>
      <c r="AA44">
        <v>0</v>
      </c>
      <c r="AB44">
        <v>6.8543999999999994E-2</v>
      </c>
      <c r="AC44">
        <v>0</v>
      </c>
      <c r="AD44">
        <v>0</v>
      </c>
      <c r="AE44">
        <v>0</v>
      </c>
      <c r="AG44">
        <f t="array" ref="AG44:AH44">T1T2(T44,S44,V44,X44,Y44)</f>
        <v>0.82028222086366887</v>
      </c>
      <c r="AH44">
        <v>0.11653977948922184</v>
      </c>
      <c r="AJ44">
        <f t="array" ref="AJ44:AM44">Canay(T44,AB44,S44,V44,AG44,AH44)</f>
        <v>0.21857949030029397</v>
      </c>
      <c r="AK44">
        <v>0.10435427461243486</v>
      </c>
      <c r="AL44">
        <v>0.55180491895917494</v>
      </c>
      <c r="AM44">
        <v>2.9073359944306102E-2</v>
      </c>
      <c r="AO44" s="1">
        <f t="array" ref="AO44:AR44">Niipt(T44,AB44,S44,V44,X44,Y44)</f>
        <v>0.25047374326532529</v>
      </c>
      <c r="AP44" s="1">
        <v>7.5993673170731704E-2</v>
      </c>
      <c r="AQ44" s="1">
        <v>0.39136244286515642</v>
      </c>
      <c r="AR44" s="1">
        <v>3.2446989473684185E-2</v>
      </c>
      <c r="AT44" s="1">
        <f t="shared" si="1"/>
        <v>-14.591603686701626</v>
      </c>
      <c r="AU44" s="1">
        <f t="shared" si="2"/>
        <v>27.17723020646028</v>
      </c>
      <c r="AV44" s="1">
        <f t="shared" si="3"/>
        <v>29.075941620210312</v>
      </c>
      <c r="AW44" s="1">
        <f t="shared" si="4"/>
        <v>-11.603851552901762</v>
      </c>
    </row>
    <row r="45" spans="1:49" x14ac:dyDescent="0.25">
      <c r="A45" t="s">
        <v>31</v>
      </c>
      <c r="B45" t="s">
        <v>32</v>
      </c>
      <c r="C45">
        <v>60102931</v>
      </c>
      <c r="D45" t="s">
        <v>77</v>
      </c>
      <c r="E45">
        <v>60102931</v>
      </c>
      <c r="F45" t="s">
        <v>34</v>
      </c>
      <c r="G45">
        <v>0</v>
      </c>
      <c r="H45">
        <v>1</v>
      </c>
      <c r="I45">
        <v>60101021</v>
      </c>
      <c r="J45">
        <v>0</v>
      </c>
      <c r="K45">
        <v>0</v>
      </c>
      <c r="L45">
        <v>0</v>
      </c>
      <c r="M45">
        <v>0</v>
      </c>
      <c r="N45">
        <v>63</v>
      </c>
      <c r="O45">
        <v>6.3</v>
      </c>
      <c r="P45">
        <v>0.8</v>
      </c>
      <c r="Q45">
        <v>1</v>
      </c>
      <c r="R45">
        <v>8.26</v>
      </c>
      <c r="S45">
        <v>0.1386</v>
      </c>
      <c r="T45">
        <v>0.96516000000000002</v>
      </c>
      <c r="U45">
        <v>0.86839199999999994</v>
      </c>
      <c r="V45">
        <v>9.0719999999999981E-2</v>
      </c>
      <c r="W45">
        <v>9.9792000000000006E-2</v>
      </c>
      <c r="X45">
        <v>6.09</v>
      </c>
      <c r="Y45">
        <v>0.16700000000000001</v>
      </c>
      <c r="Z45">
        <v>0.5</v>
      </c>
      <c r="AA45">
        <v>0</v>
      </c>
      <c r="AB45">
        <v>6.8543999999999994E-2</v>
      </c>
      <c r="AC45">
        <v>0</v>
      </c>
      <c r="AD45">
        <v>0</v>
      </c>
      <c r="AE45">
        <v>0</v>
      </c>
      <c r="AG45">
        <f t="array" ref="AG45:AH45">T1T2(T45,S45,V45,X45,Y45)</f>
        <v>0.82028222086366887</v>
      </c>
      <c r="AH45">
        <v>0.11653977948922184</v>
      </c>
      <c r="AJ45">
        <f t="array" ref="AJ45:AM45">Canay(T45,AB45,S45,V45,AG45,AH45)</f>
        <v>0.21857949030029397</v>
      </c>
      <c r="AK45">
        <v>0.10435427461243486</v>
      </c>
      <c r="AL45">
        <v>0.55180491895917494</v>
      </c>
      <c r="AM45">
        <v>2.9073359944306102E-2</v>
      </c>
      <c r="AO45" s="1">
        <f t="array" ref="AO45:AR45">Niipt(T45,AB45,S45,V45,X45,Y45)</f>
        <v>0.25047374326532529</v>
      </c>
      <c r="AP45" s="1">
        <v>7.5993673170731704E-2</v>
      </c>
      <c r="AQ45" s="1">
        <v>0.39136244286515642</v>
      </c>
      <c r="AR45" s="1">
        <v>3.2446989473684185E-2</v>
      </c>
      <c r="AT45" s="1">
        <f t="shared" si="1"/>
        <v>-14.591603686701626</v>
      </c>
      <c r="AU45" s="1">
        <f t="shared" si="2"/>
        <v>27.17723020646028</v>
      </c>
      <c r="AV45" s="1">
        <f t="shared" si="3"/>
        <v>29.075941620210312</v>
      </c>
      <c r="AW45" s="1">
        <f t="shared" si="4"/>
        <v>-11.603851552901762</v>
      </c>
    </row>
    <row r="46" spans="1:49" x14ac:dyDescent="0.25">
      <c r="A46" t="s">
        <v>31</v>
      </c>
      <c r="B46" t="s">
        <v>31</v>
      </c>
      <c r="C46">
        <v>60690002</v>
      </c>
      <c r="D46" t="s">
        <v>78</v>
      </c>
      <c r="E46">
        <v>60606020</v>
      </c>
      <c r="F46" t="s">
        <v>34</v>
      </c>
      <c r="G46">
        <v>0</v>
      </c>
      <c r="H46">
        <v>1</v>
      </c>
      <c r="I46">
        <v>60690002</v>
      </c>
      <c r="J46">
        <v>0</v>
      </c>
      <c r="K46">
        <v>0</v>
      </c>
      <c r="L46">
        <v>4.7218817949999989</v>
      </c>
      <c r="M46">
        <v>5.1260394016666702</v>
      </c>
      <c r="N46">
        <v>6</v>
      </c>
      <c r="O46">
        <v>10.5</v>
      </c>
      <c r="P46">
        <v>0.8</v>
      </c>
      <c r="Q46">
        <v>1</v>
      </c>
      <c r="R46">
        <v>12.391999999999998</v>
      </c>
      <c r="S46">
        <v>2.3079000000000001</v>
      </c>
      <c r="T46">
        <v>26.5335</v>
      </c>
      <c r="U46">
        <v>27.8565</v>
      </c>
      <c r="V46">
        <v>1.8081</v>
      </c>
      <c r="W46">
        <v>2.5284</v>
      </c>
      <c r="X46">
        <v>5.71</v>
      </c>
      <c r="Y46">
        <v>0.2</v>
      </c>
      <c r="Z46">
        <v>0.5</v>
      </c>
      <c r="AA46">
        <v>0</v>
      </c>
      <c r="AB46">
        <v>1.323</v>
      </c>
      <c r="AC46">
        <v>0</v>
      </c>
      <c r="AD46">
        <v>0</v>
      </c>
      <c r="AE46">
        <v>0</v>
      </c>
      <c r="AG46">
        <f t="array" ref="AG46:AH46">T1T2(T46,S46,V46,X46,Y46)</f>
        <v>0.4514062162564671</v>
      </c>
      <c r="AH46">
        <v>0.17239571767603792</v>
      </c>
      <c r="AJ46">
        <f t="array" ref="AJ46:AM46">Canay(T46,AB46,S46,V46,AG46,AH46)</f>
        <v>13.209182443893932</v>
      </c>
      <c r="AK46">
        <v>3.470906173617033</v>
      </c>
      <c r="AL46">
        <v>6.8974448058419275</v>
      </c>
      <c r="AM46">
        <v>0.57681589311900971</v>
      </c>
      <c r="AO46" s="1">
        <f t="array" ref="AO46:AR46">Niipt(T46,AB46,S46,V46,X46,Y46)</f>
        <v>0</v>
      </c>
      <c r="AP46" s="1">
        <v>0</v>
      </c>
      <c r="AQ46" s="1">
        <v>0</v>
      </c>
      <c r="AR46" s="1">
        <v>0</v>
      </c>
      <c r="AT46" s="1">
        <f t="shared" si="1"/>
        <v>0</v>
      </c>
      <c r="AU46" s="1">
        <f t="shared" si="2"/>
        <v>0</v>
      </c>
      <c r="AV46" s="1">
        <f t="shared" si="3"/>
        <v>0</v>
      </c>
      <c r="AW46" s="1">
        <f t="shared" si="4"/>
        <v>0</v>
      </c>
    </row>
    <row r="47" spans="1:49" x14ac:dyDescent="0.25">
      <c r="A47" t="s">
        <v>31</v>
      </c>
      <c r="B47" t="s">
        <v>31</v>
      </c>
      <c r="C47">
        <v>60690003</v>
      </c>
      <c r="D47" t="s">
        <v>79</v>
      </c>
      <c r="E47">
        <v>60606021</v>
      </c>
      <c r="F47" t="s">
        <v>34</v>
      </c>
      <c r="G47">
        <v>0</v>
      </c>
      <c r="H47">
        <v>1</v>
      </c>
      <c r="I47">
        <v>60690003</v>
      </c>
      <c r="J47">
        <v>0</v>
      </c>
      <c r="K47">
        <v>0</v>
      </c>
      <c r="L47">
        <v>10.576400659999997</v>
      </c>
      <c r="M47">
        <v>2.6102975231070196</v>
      </c>
      <c r="N47">
        <v>12</v>
      </c>
      <c r="O47">
        <v>10.5</v>
      </c>
      <c r="P47">
        <v>0.8</v>
      </c>
      <c r="Q47">
        <v>1</v>
      </c>
      <c r="R47">
        <v>13.430999999999997</v>
      </c>
      <c r="S47">
        <v>1.50675</v>
      </c>
      <c r="T47">
        <v>16.463999999999999</v>
      </c>
      <c r="U47">
        <v>16.463999999999999</v>
      </c>
      <c r="V47">
        <v>0.73499999999999999</v>
      </c>
      <c r="W47">
        <v>1.617</v>
      </c>
      <c r="X47">
        <v>5.98</v>
      </c>
      <c r="Y47">
        <v>0.2</v>
      </c>
      <c r="Z47">
        <v>0.5</v>
      </c>
      <c r="AA47">
        <v>0</v>
      </c>
      <c r="AB47">
        <v>0.55125000000000002</v>
      </c>
      <c r="AC47">
        <v>0</v>
      </c>
      <c r="AD47">
        <v>0</v>
      </c>
      <c r="AE47">
        <v>0</v>
      </c>
      <c r="AG47">
        <f t="array" ref="AG47:AH47">T1T2(T47,S47,V47,X47,Y47)</f>
        <v>0.42070821663756236</v>
      </c>
      <c r="AH47">
        <v>0.12691184776373113</v>
      </c>
      <c r="AJ47">
        <f t="array" ref="AJ47:AM47">Canay(T47,AB47,S47,V47,AG47,AH47)</f>
        <v>6.8488469760038164</v>
      </c>
      <c r="AK47">
        <v>2.1067452710206607</v>
      </c>
      <c r="AL47">
        <v>4.5412104792545929</v>
      </c>
      <c r="AM47">
        <v>0.20388738422263469</v>
      </c>
      <c r="AO47" s="1">
        <f t="array" ref="AO47:AR47">Niipt(T47,AB47,S47,V47,X47,Y47)</f>
        <v>0</v>
      </c>
      <c r="AP47" s="1">
        <v>0</v>
      </c>
      <c r="AQ47" s="1">
        <v>0</v>
      </c>
      <c r="AR47" s="1">
        <v>0</v>
      </c>
      <c r="AT47" s="1">
        <f t="shared" si="1"/>
        <v>0</v>
      </c>
      <c r="AU47" s="1">
        <f t="shared" si="2"/>
        <v>0</v>
      </c>
      <c r="AV47" s="1">
        <f t="shared" si="3"/>
        <v>0</v>
      </c>
      <c r="AW47" s="1">
        <f t="shared" si="4"/>
        <v>0</v>
      </c>
    </row>
    <row r="48" spans="1:49" x14ac:dyDescent="0.25">
      <c r="A48" t="s">
        <v>31</v>
      </c>
      <c r="B48" t="s">
        <v>31</v>
      </c>
      <c r="C48">
        <v>60690001</v>
      </c>
      <c r="D48" t="s">
        <v>80</v>
      </c>
      <c r="E48">
        <v>60606019</v>
      </c>
      <c r="F48" t="s">
        <v>34</v>
      </c>
      <c r="G48">
        <v>0</v>
      </c>
      <c r="H48">
        <v>1</v>
      </c>
      <c r="I48">
        <v>60690001</v>
      </c>
      <c r="J48">
        <v>0</v>
      </c>
      <c r="K48">
        <v>0</v>
      </c>
      <c r="L48">
        <v>6.6595283360000002</v>
      </c>
      <c r="M48">
        <v>1.4133994628166897</v>
      </c>
      <c r="N48">
        <v>6</v>
      </c>
      <c r="O48">
        <v>10.5</v>
      </c>
      <c r="P48">
        <v>0.8</v>
      </c>
      <c r="Q48">
        <v>1</v>
      </c>
      <c r="R48">
        <v>14.385</v>
      </c>
      <c r="S48">
        <v>3.5956199999999994</v>
      </c>
      <c r="T48">
        <v>30.05415</v>
      </c>
      <c r="U48">
        <v>30.05415</v>
      </c>
      <c r="V48">
        <v>2.3005499999999999</v>
      </c>
      <c r="W48">
        <v>3.2207699999999995</v>
      </c>
      <c r="X48">
        <v>4.2916999999999987</v>
      </c>
      <c r="Y48">
        <v>0.2</v>
      </c>
      <c r="Z48">
        <v>0.5</v>
      </c>
      <c r="AA48">
        <v>0</v>
      </c>
      <c r="AB48">
        <v>1.72725</v>
      </c>
      <c r="AC48">
        <v>0</v>
      </c>
      <c r="AD48">
        <v>0</v>
      </c>
      <c r="AE48">
        <v>0</v>
      </c>
      <c r="AG48">
        <f t="array" ref="AG48:AH48">T1T2(T48,S48,V48,X48,Y48)</f>
        <v>0.43405635655393077</v>
      </c>
      <c r="AH48">
        <v>0.15137022558566812</v>
      </c>
      <c r="AJ48">
        <f t="array" ref="AJ48:AM48">Canay(T48,AB48,S48,V48,AG48,AH48)</f>
        <v>18.452946749630254</v>
      </c>
      <c r="AK48">
        <v>5.2892262496827529</v>
      </c>
      <c r="AL48">
        <v>10.855827677099375</v>
      </c>
      <c r="AM48">
        <v>0.65792860512151563</v>
      </c>
      <c r="AO48" s="1">
        <f t="array" ref="AO48:AR48">Niipt(T48,AB48,S48,V48,X48,Y48)</f>
        <v>0</v>
      </c>
      <c r="AP48" s="1">
        <v>0</v>
      </c>
      <c r="AQ48" s="1">
        <v>0</v>
      </c>
      <c r="AR48" s="1">
        <v>0</v>
      </c>
      <c r="AT48" s="1">
        <f t="shared" si="1"/>
        <v>0</v>
      </c>
      <c r="AU48" s="1">
        <f t="shared" si="2"/>
        <v>0</v>
      </c>
      <c r="AV48" s="1">
        <f t="shared" si="3"/>
        <v>0</v>
      </c>
      <c r="AW48" s="1">
        <f t="shared" si="4"/>
        <v>0</v>
      </c>
    </row>
    <row r="49" spans="1:49" x14ac:dyDescent="0.25">
      <c r="A49" t="s">
        <v>31</v>
      </c>
      <c r="B49" t="s">
        <v>31</v>
      </c>
      <c r="C49">
        <v>60604026</v>
      </c>
      <c r="D49" t="s">
        <v>81</v>
      </c>
      <c r="E49">
        <v>60604003</v>
      </c>
      <c r="F49" t="s">
        <v>34</v>
      </c>
      <c r="G49">
        <v>0</v>
      </c>
      <c r="H49">
        <v>1</v>
      </c>
      <c r="I49">
        <v>60604026</v>
      </c>
      <c r="J49">
        <v>0</v>
      </c>
      <c r="K49">
        <v>0</v>
      </c>
      <c r="L49">
        <v>54.41999817</v>
      </c>
      <c r="M49">
        <v>19.378254316277101</v>
      </c>
      <c r="N49">
        <v>63</v>
      </c>
      <c r="O49">
        <v>10.5</v>
      </c>
      <c r="P49">
        <v>0.8</v>
      </c>
      <c r="Q49">
        <v>1</v>
      </c>
      <c r="R49">
        <v>6.2819047619047597</v>
      </c>
      <c r="S49">
        <v>0.45276</v>
      </c>
      <c r="T49">
        <v>3.3207300000000002</v>
      </c>
      <c r="U49">
        <v>2.9885099999999998</v>
      </c>
      <c r="V49">
        <v>0.30135000000000001</v>
      </c>
      <c r="W49">
        <v>0.33222000000000002</v>
      </c>
      <c r="X49">
        <v>5.86</v>
      </c>
      <c r="Y49">
        <v>0.2</v>
      </c>
      <c r="Z49">
        <v>0.5</v>
      </c>
      <c r="AA49">
        <v>0</v>
      </c>
      <c r="AB49">
        <v>0.29987999999999998</v>
      </c>
      <c r="AC49">
        <v>0</v>
      </c>
      <c r="AD49">
        <v>0</v>
      </c>
      <c r="AE49">
        <v>0</v>
      </c>
      <c r="AG49">
        <f t="array" ref="AG49:AH49">T1T2(T49,S49,V49,X49,Y49)</f>
        <v>0.73363601813880941</v>
      </c>
      <c r="AH49">
        <v>0.14497215569087624</v>
      </c>
      <c r="AJ49">
        <f t="array" ref="AJ49:AM49">Canay(T49,AB49,S49,V49,AG49,AH49)</f>
        <v>1.219782874281738</v>
      </c>
      <c r="AK49">
        <v>0.44238904402013574</v>
      </c>
      <c r="AL49">
        <v>0.93838482989340966</v>
      </c>
      <c r="AM49">
        <v>1.4756213575828725E-3</v>
      </c>
      <c r="AO49" s="1">
        <f t="array" ref="AO49:AR49">Niipt(T49,AB49,S49,V49,X49,Y49)</f>
        <v>0</v>
      </c>
      <c r="AP49" s="1">
        <v>0</v>
      </c>
      <c r="AQ49" s="1">
        <v>0</v>
      </c>
      <c r="AR49" s="1">
        <v>0</v>
      </c>
      <c r="AT49" s="1">
        <f t="shared" si="1"/>
        <v>0</v>
      </c>
      <c r="AU49" s="1">
        <f t="shared" si="2"/>
        <v>0</v>
      </c>
      <c r="AV49" s="1">
        <f t="shared" si="3"/>
        <v>0</v>
      </c>
      <c r="AW49" s="1">
        <f t="shared" si="4"/>
        <v>0</v>
      </c>
    </row>
    <row r="50" spans="1:49" x14ac:dyDescent="0.25">
      <c r="A50" t="s">
        <v>31</v>
      </c>
      <c r="B50" t="s">
        <v>31</v>
      </c>
      <c r="C50">
        <v>60604030</v>
      </c>
      <c r="D50" t="s">
        <v>82</v>
      </c>
      <c r="E50">
        <v>60604007</v>
      </c>
      <c r="F50" t="s">
        <v>34</v>
      </c>
      <c r="G50">
        <v>0</v>
      </c>
      <c r="H50">
        <v>1</v>
      </c>
      <c r="I50">
        <v>60604030</v>
      </c>
      <c r="J50">
        <v>0</v>
      </c>
      <c r="K50">
        <v>0</v>
      </c>
      <c r="L50">
        <v>100.6330032</v>
      </c>
      <c r="M50">
        <v>24.6536415605086</v>
      </c>
      <c r="N50">
        <v>100</v>
      </c>
      <c r="O50">
        <v>10.5</v>
      </c>
      <c r="P50">
        <v>0.8</v>
      </c>
      <c r="Q50">
        <v>1</v>
      </c>
      <c r="R50">
        <v>8.8780999999999999</v>
      </c>
      <c r="S50">
        <v>0.22290545454545499</v>
      </c>
      <c r="T50">
        <v>1.5290672727272701</v>
      </c>
      <c r="U50">
        <v>1.37592</v>
      </c>
      <c r="V50">
        <v>0.15394909090909101</v>
      </c>
      <c r="W50">
        <v>0.16918363636363601</v>
      </c>
      <c r="X50">
        <v>6.45</v>
      </c>
      <c r="Y50">
        <v>0.2</v>
      </c>
      <c r="Z50">
        <v>0.5</v>
      </c>
      <c r="AA50">
        <v>0</v>
      </c>
      <c r="AB50">
        <v>0.13951636363636397</v>
      </c>
      <c r="AC50">
        <v>0</v>
      </c>
      <c r="AD50">
        <v>0</v>
      </c>
      <c r="AE50">
        <v>0</v>
      </c>
      <c r="AG50">
        <f t="array" ref="AG50:AH50">T1T2(T50,S50,V50,X50,Y50)</f>
        <v>0.88200386806303399</v>
      </c>
      <c r="AH50">
        <v>0.14725490036677868</v>
      </c>
      <c r="AJ50">
        <f t="array" ref="AJ50:AM50">Canay(T50,AB50,S50,V50,AG50,AH50)</f>
        <v>0.39789163494640756</v>
      </c>
      <c r="AK50">
        <v>0.17270280774186469</v>
      </c>
      <c r="AL50">
        <v>0.51602437684072811</v>
      </c>
      <c r="AM50">
        <v>1.5929394993422417E-2</v>
      </c>
      <c r="AO50" s="1">
        <f t="array" ref="AO50:AR50">Niipt(T50,AB50,S50,V50,X50,Y50)</f>
        <v>0</v>
      </c>
      <c r="AP50" s="1">
        <v>0</v>
      </c>
      <c r="AQ50" s="1">
        <v>0</v>
      </c>
      <c r="AR50" s="1">
        <v>0</v>
      </c>
      <c r="AT50" s="1">
        <f t="shared" si="1"/>
        <v>0</v>
      </c>
      <c r="AU50" s="1">
        <f t="shared" si="2"/>
        <v>0</v>
      </c>
      <c r="AV50" s="1">
        <f t="shared" si="3"/>
        <v>0</v>
      </c>
      <c r="AW50" s="1">
        <f t="shared" si="4"/>
        <v>0</v>
      </c>
    </row>
    <row r="51" spans="1:49" x14ac:dyDescent="0.25">
      <c r="A51" t="s">
        <v>31</v>
      </c>
      <c r="B51" t="s">
        <v>31</v>
      </c>
      <c r="C51">
        <v>60604024</v>
      </c>
      <c r="D51" t="s">
        <v>83</v>
      </c>
      <c r="E51">
        <v>60604001</v>
      </c>
      <c r="F51" t="s">
        <v>34</v>
      </c>
      <c r="G51">
        <v>0</v>
      </c>
      <c r="H51">
        <v>1</v>
      </c>
      <c r="I51">
        <v>60604024</v>
      </c>
      <c r="J51">
        <v>0</v>
      </c>
      <c r="K51">
        <v>0</v>
      </c>
      <c r="L51">
        <v>55.456001279999995</v>
      </c>
      <c r="M51">
        <v>16.184775105401297</v>
      </c>
      <c r="N51">
        <v>63</v>
      </c>
      <c r="O51">
        <v>10.5</v>
      </c>
      <c r="P51">
        <v>0.8</v>
      </c>
      <c r="Q51">
        <v>1</v>
      </c>
      <c r="R51">
        <v>6.3047619047618992</v>
      </c>
      <c r="S51">
        <v>0.45276</v>
      </c>
      <c r="T51">
        <v>3.3207300000000002</v>
      </c>
      <c r="U51">
        <v>2.9885099999999998</v>
      </c>
      <c r="V51">
        <v>0.30135000000000001</v>
      </c>
      <c r="W51">
        <v>0.33222000000000002</v>
      </c>
      <c r="X51">
        <v>5.86</v>
      </c>
      <c r="Y51">
        <v>0.2</v>
      </c>
      <c r="Z51">
        <v>0.5</v>
      </c>
      <c r="AA51">
        <v>0</v>
      </c>
      <c r="AB51">
        <v>0.29987999999999998</v>
      </c>
      <c r="AC51">
        <v>0</v>
      </c>
      <c r="AD51">
        <v>0</v>
      </c>
      <c r="AE51">
        <v>0</v>
      </c>
      <c r="AG51">
        <f t="array" ref="AG51:AH51">T1T2(T51,S51,V51,X51,Y51)</f>
        <v>0.73363601813880941</v>
      </c>
      <c r="AH51">
        <v>0.14497215569087624</v>
      </c>
      <c r="AJ51">
        <f t="array" ref="AJ51:AM51">Canay(T51,AB51,S51,V51,AG51,AH51)</f>
        <v>1.219782874281738</v>
      </c>
      <c r="AK51">
        <v>0.44238904402013574</v>
      </c>
      <c r="AL51">
        <v>0.93838482989340966</v>
      </c>
      <c r="AM51">
        <v>1.4756213575828725E-3</v>
      </c>
      <c r="AO51" s="1">
        <f t="array" ref="AO51:AR51">Niipt(T51,AB51,S51,V51,X51,Y51)</f>
        <v>0</v>
      </c>
      <c r="AP51" s="1">
        <v>0</v>
      </c>
      <c r="AQ51" s="1">
        <v>0</v>
      </c>
      <c r="AR51" s="1">
        <v>0</v>
      </c>
      <c r="AT51" s="1">
        <f t="shared" si="1"/>
        <v>0</v>
      </c>
      <c r="AU51" s="1">
        <f t="shared" si="2"/>
        <v>0</v>
      </c>
      <c r="AV51" s="1">
        <f t="shared" si="3"/>
        <v>0</v>
      </c>
      <c r="AW51" s="1">
        <f t="shared" si="4"/>
        <v>0</v>
      </c>
    </row>
    <row r="52" spans="1:49" x14ac:dyDescent="0.25">
      <c r="A52" t="s">
        <v>31</v>
      </c>
      <c r="B52" t="s">
        <v>31</v>
      </c>
      <c r="C52">
        <v>60604025</v>
      </c>
      <c r="D52" t="s">
        <v>84</v>
      </c>
      <c r="E52">
        <v>60604002</v>
      </c>
      <c r="F52" t="s">
        <v>34</v>
      </c>
      <c r="G52">
        <v>0</v>
      </c>
      <c r="H52">
        <v>1</v>
      </c>
      <c r="I52">
        <v>60604025</v>
      </c>
      <c r="J52">
        <v>0</v>
      </c>
      <c r="K52">
        <v>0</v>
      </c>
      <c r="L52">
        <v>53.671001429999997</v>
      </c>
      <c r="M52">
        <v>7.2438204314587598</v>
      </c>
      <c r="N52">
        <v>60</v>
      </c>
      <c r="O52">
        <v>10.5</v>
      </c>
      <c r="P52">
        <v>0.8</v>
      </c>
      <c r="Q52">
        <v>1</v>
      </c>
      <c r="R52">
        <v>9.7366666666666593</v>
      </c>
      <c r="S52">
        <v>0.42688799999999999</v>
      </c>
      <c r="T52">
        <v>3.8807999999999994</v>
      </c>
      <c r="U52">
        <v>3.8807999999999994</v>
      </c>
      <c r="V52">
        <v>0.232848</v>
      </c>
      <c r="W52">
        <v>0.41454000000000002</v>
      </c>
      <c r="X52">
        <v>11.7</v>
      </c>
      <c r="Y52">
        <v>0.2</v>
      </c>
      <c r="Z52">
        <v>0.5</v>
      </c>
      <c r="AA52">
        <v>0</v>
      </c>
      <c r="AB52">
        <v>0.22932</v>
      </c>
      <c r="AC52">
        <v>0</v>
      </c>
      <c r="AD52">
        <v>0</v>
      </c>
      <c r="AE52">
        <v>0</v>
      </c>
      <c r="AG52">
        <f t="array" ref="AG52:AH52">T1T2(T52,S52,V52,X52,Y52)</f>
        <v>1.1984910385291281</v>
      </c>
      <c r="AH52">
        <v>0.11714730897972227</v>
      </c>
      <c r="AJ52">
        <f t="array" ref="AJ52:AM52">Canay(T52,AB52,S52,V52,AG52,AH52)</f>
        <v>0.47547215843172685</v>
      </c>
      <c r="AK52">
        <v>0.30783394274553805</v>
      </c>
      <c r="AL52">
        <v>1.0229990576868739</v>
      </c>
      <c r="AM52">
        <v>3.5723938093653231E-3</v>
      </c>
      <c r="AO52" s="1">
        <f t="array" ref="AO52:AR52">Niipt(T52,AB52,S52,V52,X52,Y52)</f>
        <v>0</v>
      </c>
      <c r="AP52" s="1">
        <v>0</v>
      </c>
      <c r="AQ52" s="1">
        <v>0</v>
      </c>
      <c r="AR52" s="1">
        <v>0</v>
      </c>
      <c r="AT52" s="1">
        <f t="shared" si="1"/>
        <v>0</v>
      </c>
      <c r="AU52" s="1">
        <f t="shared" si="2"/>
        <v>0</v>
      </c>
      <c r="AV52" s="1">
        <f t="shared" si="3"/>
        <v>0</v>
      </c>
      <c r="AW52" s="1">
        <f t="shared" si="4"/>
        <v>0</v>
      </c>
    </row>
    <row r="53" spans="1:49" x14ac:dyDescent="0.25">
      <c r="A53" t="s">
        <v>31</v>
      </c>
      <c r="B53" t="s">
        <v>31</v>
      </c>
      <c r="C53">
        <v>60604027</v>
      </c>
      <c r="D53" t="s">
        <v>85</v>
      </c>
      <c r="E53">
        <v>60604004</v>
      </c>
      <c r="F53" t="s">
        <v>34</v>
      </c>
      <c r="G53">
        <v>0</v>
      </c>
      <c r="H53">
        <v>1</v>
      </c>
      <c r="I53">
        <v>60604027</v>
      </c>
      <c r="J53">
        <v>0</v>
      </c>
      <c r="K53">
        <v>0</v>
      </c>
      <c r="L53">
        <v>79.388000489999982</v>
      </c>
      <c r="M53">
        <v>36.895529417249392</v>
      </c>
      <c r="N53">
        <v>100</v>
      </c>
      <c r="O53">
        <v>10.5</v>
      </c>
      <c r="P53">
        <v>0.8</v>
      </c>
      <c r="Q53">
        <v>1</v>
      </c>
      <c r="R53">
        <v>8.0470000000000006</v>
      </c>
      <c r="S53">
        <v>0.245196</v>
      </c>
      <c r="T53">
        <v>1.6819740000000001</v>
      </c>
      <c r="U53">
        <v>1.513512</v>
      </c>
      <c r="V53">
        <v>0.16934399999999997</v>
      </c>
      <c r="W53">
        <v>0.18610199999999999</v>
      </c>
      <c r="X53">
        <v>6.45</v>
      </c>
      <c r="Y53">
        <v>0.2</v>
      </c>
      <c r="Z53">
        <v>0.5</v>
      </c>
      <c r="AA53">
        <v>0</v>
      </c>
      <c r="AB53">
        <v>0.15346799999999997</v>
      </c>
      <c r="AC53">
        <v>0</v>
      </c>
      <c r="AD53">
        <v>0</v>
      </c>
      <c r="AE53">
        <v>0</v>
      </c>
      <c r="AG53">
        <f t="array" ref="AG53:AH53">T1T2(T53,S53,V53,X53,Y53)</f>
        <v>0.88200386806303066</v>
      </c>
      <c r="AH53">
        <v>0.14725490036677885</v>
      </c>
      <c r="AJ53">
        <f t="array" ref="AJ53:AM53">Canay(T53,AB53,S53,V53,AG53,AH53)</f>
        <v>0.43768079844104957</v>
      </c>
      <c r="AK53">
        <v>0.18997308851605113</v>
      </c>
      <c r="AL53">
        <v>0.56762681452480113</v>
      </c>
      <c r="AM53">
        <v>1.7522334492764968E-2</v>
      </c>
      <c r="AO53" s="1">
        <f t="array" ref="AO53:AR53">Niipt(T53,AB53,S53,V53,X53,Y53)</f>
        <v>0</v>
      </c>
      <c r="AP53" s="1">
        <v>0</v>
      </c>
      <c r="AQ53" s="1">
        <v>0</v>
      </c>
      <c r="AR53" s="1">
        <v>0</v>
      </c>
      <c r="AT53" s="1">
        <f t="shared" si="1"/>
        <v>0</v>
      </c>
      <c r="AU53" s="1">
        <f t="shared" si="2"/>
        <v>0</v>
      </c>
      <c r="AV53" s="1">
        <f t="shared" si="3"/>
        <v>0</v>
      </c>
      <c r="AW53" s="1">
        <f t="shared" si="4"/>
        <v>0</v>
      </c>
    </row>
    <row r="54" spans="1:49" x14ac:dyDescent="0.25">
      <c r="A54" t="s">
        <v>31</v>
      </c>
      <c r="B54" t="s">
        <v>31</v>
      </c>
      <c r="C54">
        <v>60604028</v>
      </c>
      <c r="D54" t="s">
        <v>86</v>
      </c>
      <c r="E54">
        <v>60604005</v>
      </c>
      <c r="F54" t="s">
        <v>34</v>
      </c>
      <c r="G54">
        <v>0</v>
      </c>
      <c r="H54">
        <v>1</v>
      </c>
      <c r="I54">
        <v>60604028</v>
      </c>
      <c r="J54">
        <v>0</v>
      </c>
      <c r="K54">
        <v>0</v>
      </c>
      <c r="L54">
        <v>73.65599822999998</v>
      </c>
      <c r="M54">
        <v>26.486147562174001</v>
      </c>
      <c r="N54">
        <v>100</v>
      </c>
      <c r="O54">
        <v>10.5</v>
      </c>
      <c r="P54">
        <v>0.8</v>
      </c>
      <c r="Q54">
        <v>1</v>
      </c>
      <c r="R54">
        <v>8.8692999999999991</v>
      </c>
      <c r="S54">
        <v>0.22290545454545499</v>
      </c>
      <c r="T54">
        <v>1.5290672727272701</v>
      </c>
      <c r="U54">
        <v>1.37592</v>
      </c>
      <c r="V54">
        <v>0.15394909090909101</v>
      </c>
      <c r="W54">
        <v>0.16918363636363601</v>
      </c>
      <c r="X54">
        <v>6.45</v>
      </c>
      <c r="Y54">
        <v>0.2</v>
      </c>
      <c r="Z54">
        <v>0.5</v>
      </c>
      <c r="AA54">
        <v>0</v>
      </c>
      <c r="AB54">
        <v>0.13951636363636397</v>
      </c>
      <c r="AC54">
        <v>0</v>
      </c>
      <c r="AD54">
        <v>0</v>
      </c>
      <c r="AE54">
        <v>0</v>
      </c>
      <c r="AG54">
        <f t="array" ref="AG54:AH54">T1T2(T54,S54,V54,X54,Y54)</f>
        <v>0.88200386806303399</v>
      </c>
      <c r="AH54">
        <v>0.14725490036677868</v>
      </c>
      <c r="AJ54">
        <f t="array" ref="AJ54:AM54">Canay(T54,AB54,S54,V54,AG54,AH54)</f>
        <v>0.39789163494640756</v>
      </c>
      <c r="AK54">
        <v>0.17270280774186469</v>
      </c>
      <c r="AL54">
        <v>0.51602437684072811</v>
      </c>
      <c r="AM54">
        <v>1.5929394993422417E-2</v>
      </c>
      <c r="AO54" s="1">
        <f t="array" ref="AO54:AR54">Niipt(T54,AB54,S54,V54,X54,Y54)</f>
        <v>0</v>
      </c>
      <c r="AP54" s="1">
        <v>0</v>
      </c>
      <c r="AQ54" s="1">
        <v>0</v>
      </c>
      <c r="AR54" s="1">
        <v>0</v>
      </c>
      <c r="AT54" s="1">
        <f t="shared" si="1"/>
        <v>0</v>
      </c>
      <c r="AU54" s="1">
        <f t="shared" si="2"/>
        <v>0</v>
      </c>
      <c r="AV54" s="1">
        <f t="shared" si="3"/>
        <v>0</v>
      </c>
      <c r="AW54" s="1">
        <f t="shared" si="4"/>
        <v>0</v>
      </c>
    </row>
    <row r="55" spans="1:49" x14ac:dyDescent="0.25">
      <c r="A55" t="s">
        <v>31</v>
      </c>
      <c r="B55" t="s">
        <v>31</v>
      </c>
      <c r="C55">
        <v>60604029</v>
      </c>
      <c r="D55" t="s">
        <v>87</v>
      </c>
      <c r="E55">
        <v>60604006</v>
      </c>
      <c r="F55" t="s">
        <v>34</v>
      </c>
      <c r="G55">
        <v>0</v>
      </c>
      <c r="H55">
        <v>1</v>
      </c>
      <c r="I55">
        <v>60604029</v>
      </c>
      <c r="J55">
        <v>0</v>
      </c>
      <c r="K55">
        <v>0</v>
      </c>
      <c r="L55">
        <v>84.787002560000005</v>
      </c>
      <c r="M55">
        <v>33.635709236289493</v>
      </c>
      <c r="N55">
        <v>100</v>
      </c>
      <c r="O55">
        <v>10.5</v>
      </c>
      <c r="P55">
        <v>0.8</v>
      </c>
      <c r="Q55">
        <v>1</v>
      </c>
      <c r="R55">
        <v>8.8780999999999999</v>
      </c>
      <c r="S55">
        <v>0.22290545454545499</v>
      </c>
      <c r="T55">
        <v>1.5290672727272701</v>
      </c>
      <c r="U55">
        <v>1.37592</v>
      </c>
      <c r="V55">
        <v>0.15394909090909101</v>
      </c>
      <c r="W55">
        <v>0.16918363636363601</v>
      </c>
      <c r="X55">
        <v>6.45</v>
      </c>
      <c r="Y55">
        <v>0.2</v>
      </c>
      <c r="Z55">
        <v>0.5</v>
      </c>
      <c r="AA55">
        <v>0</v>
      </c>
      <c r="AB55">
        <v>0.13951636363636397</v>
      </c>
      <c r="AC55">
        <v>0</v>
      </c>
      <c r="AD55">
        <v>0</v>
      </c>
      <c r="AE55">
        <v>0</v>
      </c>
      <c r="AG55">
        <f t="array" ref="AG55:AH55">T1T2(T55,S55,V55,X55,Y55)</f>
        <v>0.88200386806303399</v>
      </c>
      <c r="AH55">
        <v>0.14725490036677868</v>
      </c>
      <c r="AJ55">
        <f t="array" ref="AJ55:AM55">Canay(T55,AB55,S55,V55,AG55,AH55)</f>
        <v>0.39789163494640756</v>
      </c>
      <c r="AK55">
        <v>0.17270280774186469</v>
      </c>
      <c r="AL55">
        <v>0.51602437684072811</v>
      </c>
      <c r="AM55">
        <v>1.5929394993422417E-2</v>
      </c>
      <c r="AO55" s="1">
        <f t="array" ref="AO55:AR55">Niipt(T55,AB55,S55,V55,X55,Y55)</f>
        <v>0</v>
      </c>
      <c r="AP55" s="1">
        <v>0</v>
      </c>
      <c r="AQ55" s="1">
        <v>0</v>
      </c>
      <c r="AR55" s="1">
        <v>0</v>
      </c>
      <c r="AT55" s="1">
        <f t="shared" si="1"/>
        <v>0</v>
      </c>
      <c r="AU55" s="1">
        <f t="shared" si="2"/>
        <v>0</v>
      </c>
      <c r="AV55" s="1">
        <f t="shared" si="3"/>
        <v>0</v>
      </c>
      <c r="AW55" s="1">
        <f t="shared" si="4"/>
        <v>0</v>
      </c>
    </row>
    <row r="56" spans="1:49" x14ac:dyDescent="0.25">
      <c r="A56" t="s">
        <v>31</v>
      </c>
      <c r="B56" t="s">
        <v>31</v>
      </c>
      <c r="C56">
        <v>60608058</v>
      </c>
      <c r="D56" t="s">
        <v>88</v>
      </c>
      <c r="E56">
        <v>60608004</v>
      </c>
      <c r="F56" t="s">
        <v>34</v>
      </c>
      <c r="G56">
        <v>0</v>
      </c>
      <c r="H56">
        <v>1</v>
      </c>
      <c r="I56">
        <v>60608058</v>
      </c>
      <c r="J56">
        <v>0</v>
      </c>
      <c r="K56">
        <v>0</v>
      </c>
      <c r="L56">
        <v>10.440000530000001</v>
      </c>
      <c r="M56">
        <v>7.0692326772954202</v>
      </c>
      <c r="N56">
        <v>12</v>
      </c>
      <c r="O56">
        <v>10.5</v>
      </c>
      <c r="P56">
        <v>0.8</v>
      </c>
      <c r="Q56">
        <v>1</v>
      </c>
      <c r="R56">
        <v>5.5490000000000004</v>
      </c>
      <c r="S56">
        <v>1.1025</v>
      </c>
      <c r="T56">
        <v>12.494999999999997</v>
      </c>
      <c r="U56">
        <v>11.76</v>
      </c>
      <c r="V56">
        <v>0.8085</v>
      </c>
      <c r="W56">
        <v>1.1025</v>
      </c>
      <c r="X56">
        <v>9.77</v>
      </c>
      <c r="Y56">
        <v>0.2</v>
      </c>
      <c r="Z56">
        <v>0.5</v>
      </c>
      <c r="AA56">
        <v>0</v>
      </c>
      <c r="AB56">
        <v>0.46305000000000002</v>
      </c>
      <c r="AC56">
        <v>0</v>
      </c>
      <c r="AD56">
        <v>0</v>
      </c>
      <c r="AE56">
        <v>0</v>
      </c>
      <c r="AG56">
        <f t="array" ref="AG56:AH56">T1T2(T56,S56,V56,X56,Y56)</f>
        <v>0.80909281430779201</v>
      </c>
      <c r="AH56">
        <v>0.15626797307032936</v>
      </c>
      <c r="AJ56">
        <f t="array" ref="AJ56:AM56">Canay(T56,AB56,S56,V56,AG56,AH56)</f>
        <v>1.6767622886743454</v>
      </c>
      <c r="AK56">
        <v>0.85261156310763564</v>
      </c>
      <c r="AL56">
        <v>5.5307130751133231</v>
      </c>
      <c r="AM56">
        <v>0.61020413470638002</v>
      </c>
      <c r="AO56" s="1">
        <f t="array" ref="AO56:AR56">Niipt(T56,AB56,S56,V56,X56,Y56)</f>
        <v>1.6698238523386812</v>
      </c>
      <c r="AP56" s="1">
        <v>0.67534170967741936</v>
      </c>
      <c r="AQ56" s="1">
        <v>5.4165609319668304</v>
      </c>
      <c r="AR56" s="1">
        <v>0.75135374999999982</v>
      </c>
      <c r="AT56" s="1">
        <f t="shared" si="1"/>
        <v>0.41379964128067964</v>
      </c>
      <c r="AU56" s="1">
        <f t="shared" si="2"/>
        <v>20.791396821325694</v>
      </c>
      <c r="AV56" s="1">
        <f t="shared" si="3"/>
        <v>2.0639679114822593</v>
      </c>
      <c r="AW56" s="1">
        <f t="shared" si="4"/>
        <v>-23.131540293731153</v>
      </c>
    </row>
    <row r="57" spans="1:49" x14ac:dyDescent="0.25">
      <c r="A57" t="s">
        <v>31</v>
      </c>
      <c r="B57" t="s">
        <v>31</v>
      </c>
      <c r="C57">
        <v>60608054</v>
      </c>
      <c r="D57" t="s">
        <v>89</v>
      </c>
      <c r="E57">
        <v>60608004</v>
      </c>
      <c r="F57" t="s">
        <v>34</v>
      </c>
      <c r="G57">
        <v>0</v>
      </c>
      <c r="H57">
        <v>1</v>
      </c>
      <c r="I57">
        <v>60608054</v>
      </c>
      <c r="J57">
        <v>0</v>
      </c>
      <c r="K57">
        <v>0</v>
      </c>
      <c r="L57">
        <v>11.59000015</v>
      </c>
      <c r="M57">
        <v>6.8433591593771093</v>
      </c>
      <c r="N57">
        <v>12</v>
      </c>
      <c r="O57">
        <v>10.5</v>
      </c>
      <c r="P57">
        <v>0.8</v>
      </c>
      <c r="Q57">
        <v>1</v>
      </c>
      <c r="R57">
        <v>4.294999999999999</v>
      </c>
      <c r="S57">
        <v>0.69854399999999994</v>
      </c>
      <c r="T57">
        <v>6.4146977999999999</v>
      </c>
      <c r="U57">
        <v>6.4146977999999999</v>
      </c>
      <c r="V57">
        <v>0.39637079999999997</v>
      </c>
      <c r="W57">
        <v>0.5733881999999999</v>
      </c>
      <c r="X57">
        <v>5.79</v>
      </c>
      <c r="Y57">
        <v>0.2</v>
      </c>
      <c r="Z57">
        <v>0.5</v>
      </c>
      <c r="AA57">
        <v>0</v>
      </c>
      <c r="AB57">
        <v>0.29793960000000003</v>
      </c>
      <c r="AC57">
        <v>0</v>
      </c>
      <c r="AD57">
        <v>0</v>
      </c>
      <c r="AE57">
        <v>0</v>
      </c>
      <c r="AG57">
        <f t="array" ref="AG57:AH57">T1T2(T57,S57,V57,X57,Y57)</f>
        <v>0.53598369166515947</v>
      </c>
      <c r="AH57">
        <v>0.13350035962816381</v>
      </c>
      <c r="AJ57">
        <f t="array" ref="AJ57:AM57">Canay(T57,AB57,S57,V57,AG57,AH57)</f>
        <v>2.1787900300500453</v>
      </c>
      <c r="AK57">
        <v>0.78071155180892093</v>
      </c>
      <c r="AL57">
        <v>2.206414979091067</v>
      </c>
      <c r="AM57">
        <v>0.1147445315705025</v>
      </c>
      <c r="AO57" s="1">
        <f t="array" ref="AO57:AR57">Niipt(T57,AB57,S57,V57,X57,Y57)</f>
        <v>0</v>
      </c>
      <c r="AP57" s="1">
        <v>0</v>
      </c>
      <c r="AQ57" s="1">
        <v>0</v>
      </c>
      <c r="AR57" s="1">
        <v>0</v>
      </c>
      <c r="AT57" s="1">
        <f t="shared" si="1"/>
        <v>0</v>
      </c>
      <c r="AU57" s="1">
        <f t="shared" si="2"/>
        <v>0</v>
      </c>
      <c r="AV57" s="1">
        <f t="shared" si="3"/>
        <v>0</v>
      </c>
      <c r="AW57" s="1">
        <f t="shared" si="4"/>
        <v>0</v>
      </c>
    </row>
    <row r="58" spans="1:49" x14ac:dyDescent="0.25">
      <c r="A58" t="s">
        <v>31</v>
      </c>
      <c r="B58" t="s">
        <v>31</v>
      </c>
      <c r="C58">
        <v>60608056</v>
      </c>
      <c r="D58" t="s">
        <v>90</v>
      </c>
      <c r="E58">
        <v>60608006</v>
      </c>
      <c r="F58" t="s">
        <v>34</v>
      </c>
      <c r="G58">
        <v>0</v>
      </c>
      <c r="H58">
        <v>1</v>
      </c>
      <c r="I58">
        <v>60608056</v>
      </c>
      <c r="J58">
        <v>0</v>
      </c>
      <c r="K58">
        <v>0</v>
      </c>
      <c r="L58">
        <v>11.59000015</v>
      </c>
      <c r="M58">
        <v>5.0201397184924392</v>
      </c>
      <c r="N58">
        <v>12</v>
      </c>
      <c r="O58">
        <v>10.5</v>
      </c>
      <c r="P58">
        <v>0.8</v>
      </c>
      <c r="Q58">
        <v>1</v>
      </c>
      <c r="R58">
        <v>4.2539999999999996</v>
      </c>
      <c r="S58">
        <v>1.9403999999999997</v>
      </c>
      <c r="T58">
        <v>17.818605000000002</v>
      </c>
      <c r="U58">
        <v>17.818605000000002</v>
      </c>
      <c r="V58">
        <v>1.10103</v>
      </c>
      <c r="W58">
        <v>1.5927450000000001</v>
      </c>
      <c r="X58">
        <v>5.79</v>
      </c>
      <c r="Y58">
        <v>0.2</v>
      </c>
      <c r="Z58">
        <v>0.5</v>
      </c>
      <c r="AA58">
        <v>0</v>
      </c>
      <c r="AB58">
        <v>0.82760999999999996</v>
      </c>
      <c r="AC58">
        <v>0</v>
      </c>
      <c r="AD58">
        <v>0</v>
      </c>
      <c r="AE58">
        <v>0</v>
      </c>
      <c r="AG58">
        <f t="array" ref="AG58:AH58">T1T2(T58,S58,V58,X58,Y58)</f>
        <v>0.53598369166515936</v>
      </c>
      <c r="AH58">
        <v>0.13350035962816384</v>
      </c>
      <c r="AJ58">
        <f t="array" ref="AJ58:AM58">Canay(T58,AB58,S58,V58,AG58,AH58)</f>
        <v>6.0521945279167957</v>
      </c>
      <c r="AK58">
        <v>2.1686431994692259</v>
      </c>
      <c r="AL58">
        <v>6.128930497475185</v>
      </c>
      <c r="AM58">
        <v>0.31873480991806269</v>
      </c>
      <c r="AO58" s="1">
        <f t="array" ref="AO58:AR58">Niipt(T58,AB58,S58,V58,X58,Y58)</f>
        <v>0</v>
      </c>
      <c r="AP58" s="1">
        <v>0</v>
      </c>
      <c r="AQ58" s="1">
        <v>0</v>
      </c>
      <c r="AR58" s="1">
        <v>0</v>
      </c>
      <c r="AT58" s="1">
        <f t="shared" si="1"/>
        <v>0</v>
      </c>
      <c r="AU58" s="1">
        <f t="shared" si="2"/>
        <v>0</v>
      </c>
      <c r="AV58" s="1">
        <f t="shared" si="3"/>
        <v>0</v>
      </c>
      <c r="AW58" s="1">
        <f t="shared" si="4"/>
        <v>0</v>
      </c>
    </row>
    <row r="59" spans="1:49" x14ac:dyDescent="0.25">
      <c r="A59" t="s">
        <v>31</v>
      </c>
      <c r="B59" t="s">
        <v>31</v>
      </c>
      <c r="C59">
        <v>60608057</v>
      </c>
      <c r="D59" t="s">
        <v>91</v>
      </c>
      <c r="E59">
        <v>60608006</v>
      </c>
      <c r="F59" t="s">
        <v>34</v>
      </c>
      <c r="G59">
        <v>0</v>
      </c>
      <c r="H59">
        <v>1</v>
      </c>
      <c r="I59">
        <v>60608057</v>
      </c>
      <c r="J59">
        <v>0</v>
      </c>
      <c r="K59">
        <v>0</v>
      </c>
      <c r="L59">
        <v>15.52000046</v>
      </c>
      <c r="M59">
        <v>5.1701165246934</v>
      </c>
      <c r="N59">
        <v>30</v>
      </c>
      <c r="O59">
        <v>10.5</v>
      </c>
      <c r="P59">
        <v>0.8</v>
      </c>
      <c r="Q59">
        <v>1</v>
      </c>
      <c r="R59">
        <v>4.694</v>
      </c>
      <c r="S59">
        <v>0.7790999999999999</v>
      </c>
      <c r="T59">
        <v>7.6763399999999988</v>
      </c>
      <c r="U59">
        <v>7.6763399999999988</v>
      </c>
      <c r="V59">
        <v>0.45863999999999994</v>
      </c>
      <c r="W59">
        <v>0.62180999999999986</v>
      </c>
      <c r="X59">
        <v>9.4466999999999999</v>
      </c>
      <c r="Y59">
        <v>0.2</v>
      </c>
      <c r="Z59">
        <v>0.5</v>
      </c>
      <c r="AA59">
        <v>0</v>
      </c>
      <c r="AB59">
        <v>0.38513999999999993</v>
      </c>
      <c r="AC59">
        <v>0</v>
      </c>
      <c r="AD59">
        <v>0</v>
      </c>
      <c r="AE59">
        <v>0</v>
      </c>
      <c r="AG59">
        <f t="array" ref="AG59:AH59">T1T2(T59,S59,V59,X59,Y59)</f>
        <v>0.87595747987567718</v>
      </c>
      <c r="AH59">
        <v>0.12886792046045001</v>
      </c>
      <c r="AJ59">
        <f t="array" ref="AJ59:AM59">Canay(T59,AB59,S59,V59,AG59,AH59)</f>
        <v>1.2428333571144723</v>
      </c>
      <c r="AK59">
        <v>0.63517863685006926</v>
      </c>
      <c r="AL59">
        <v>2.2561041585505612</v>
      </c>
      <c r="AM59">
        <v>8.4076497488873969E-2</v>
      </c>
      <c r="AO59" s="1">
        <f t="array" ref="AO59:AR59">Niipt(T59,AB59,S59,V59,X59,Y59)</f>
        <v>0</v>
      </c>
      <c r="AP59" s="1">
        <v>0</v>
      </c>
      <c r="AQ59" s="1">
        <v>0</v>
      </c>
      <c r="AR59" s="1">
        <v>0</v>
      </c>
      <c r="AT59" s="1">
        <f t="shared" si="1"/>
        <v>0</v>
      </c>
      <c r="AU59" s="1">
        <f t="shared" si="2"/>
        <v>0</v>
      </c>
      <c r="AV59" s="1">
        <f t="shared" si="3"/>
        <v>0</v>
      </c>
      <c r="AW59" s="1">
        <f t="shared" si="4"/>
        <v>0</v>
      </c>
    </row>
    <row r="60" spans="1:49" x14ac:dyDescent="0.25">
      <c r="A60" t="s">
        <v>31</v>
      </c>
      <c r="B60" t="s">
        <v>31</v>
      </c>
      <c r="C60">
        <v>60608059</v>
      </c>
      <c r="D60" t="s">
        <v>92</v>
      </c>
      <c r="E60">
        <v>60608003</v>
      </c>
      <c r="F60" t="s">
        <v>34</v>
      </c>
      <c r="G60">
        <v>0</v>
      </c>
      <c r="H60">
        <v>1</v>
      </c>
      <c r="I60">
        <v>60608059</v>
      </c>
      <c r="J60">
        <v>0</v>
      </c>
      <c r="K60">
        <v>0</v>
      </c>
      <c r="L60">
        <v>10.260000229999998</v>
      </c>
      <c r="M60">
        <v>6.3857871218223297</v>
      </c>
      <c r="N60">
        <v>12</v>
      </c>
      <c r="O60">
        <v>6.3</v>
      </c>
      <c r="P60">
        <v>0.8</v>
      </c>
      <c r="Q60">
        <v>1</v>
      </c>
      <c r="R60">
        <v>5.2939999999999996</v>
      </c>
      <c r="S60">
        <v>0.53978399999999993</v>
      </c>
      <c r="T60">
        <v>6.0064199999999994</v>
      </c>
      <c r="U60">
        <v>5.7153599999999996</v>
      </c>
      <c r="V60">
        <v>0.31751999999999997</v>
      </c>
      <c r="W60">
        <v>0.44982</v>
      </c>
      <c r="X60">
        <v>8.9</v>
      </c>
      <c r="Y60">
        <v>0.2</v>
      </c>
      <c r="Z60">
        <v>0.5</v>
      </c>
      <c r="AA60">
        <v>0</v>
      </c>
      <c r="AB60">
        <v>0.15875999999999998</v>
      </c>
      <c r="AC60">
        <v>0</v>
      </c>
      <c r="AD60">
        <v>0</v>
      </c>
      <c r="AE60">
        <v>0</v>
      </c>
      <c r="AG60">
        <f t="array" ref="AG60:AH60">T1T2(T60,S60,V60,X60,Y60)</f>
        <v>0.71365103861488921</v>
      </c>
      <c r="AH60">
        <v>0.13185284012504239</v>
      </c>
      <c r="AJ60">
        <f t="array" ref="AJ60:AM60">Canay(T60,AB60,S60,V60,AG60,AH60)</f>
        <v>0.92896815121824794</v>
      </c>
      <c r="AK60">
        <v>0.49259900491663794</v>
      </c>
      <c r="AL60">
        <v>2.6777335988220319</v>
      </c>
      <c r="AM60">
        <v>0.24403585601930397</v>
      </c>
      <c r="AO60" s="1">
        <f t="array" ref="AO60:AR60">Niipt(T60,AB60,S60,V60,X60,Y60)</f>
        <v>0.95407879076003077</v>
      </c>
      <c r="AP60" s="1">
        <v>0.40758133591481116</v>
      </c>
      <c r="AQ60" s="1">
        <v>2.4058877681708322</v>
      </c>
      <c r="AR60" s="1">
        <v>0.2721599999999999</v>
      </c>
      <c r="AT60" s="1">
        <f t="shared" si="1"/>
        <v>-2.7030678617832873</v>
      </c>
      <c r="AU60" s="1">
        <f t="shared" si="2"/>
        <v>17.259001368915523</v>
      </c>
      <c r="AV60" s="1">
        <f t="shared" si="3"/>
        <v>10.152086479804714</v>
      </c>
      <c r="AW60" s="1">
        <f t="shared" si="4"/>
        <v>-11.524594967090094</v>
      </c>
    </row>
    <row r="61" spans="1:49" x14ac:dyDescent="0.25">
      <c r="A61" t="s">
        <v>31</v>
      </c>
      <c r="B61" t="s">
        <v>31</v>
      </c>
      <c r="C61">
        <v>60608053</v>
      </c>
      <c r="D61" t="s">
        <v>93</v>
      </c>
      <c r="E61">
        <v>60608003</v>
      </c>
      <c r="F61" t="s">
        <v>34</v>
      </c>
      <c r="G61">
        <v>0</v>
      </c>
      <c r="H61">
        <v>1</v>
      </c>
      <c r="I61">
        <v>60608053</v>
      </c>
      <c r="J61">
        <v>0</v>
      </c>
      <c r="K61">
        <v>0</v>
      </c>
      <c r="L61">
        <v>10.83000088</v>
      </c>
      <c r="M61">
        <v>5.6442094379644789</v>
      </c>
      <c r="N61">
        <v>12</v>
      </c>
      <c r="O61">
        <v>6.3</v>
      </c>
      <c r="P61">
        <v>0.8</v>
      </c>
      <c r="Q61">
        <v>1</v>
      </c>
      <c r="R61">
        <v>5.22</v>
      </c>
      <c r="S61">
        <v>0.58873500000000001</v>
      </c>
      <c r="T61">
        <v>5.6060802000000001</v>
      </c>
      <c r="U61">
        <v>5.6060802000000001</v>
      </c>
      <c r="V61">
        <v>0.32625179999999993</v>
      </c>
      <c r="W61">
        <v>0.47284019999999999</v>
      </c>
      <c r="X61">
        <v>5.8723000000000001</v>
      </c>
      <c r="Y61">
        <v>0.2</v>
      </c>
      <c r="Z61">
        <v>0.5</v>
      </c>
      <c r="AA61">
        <v>0</v>
      </c>
      <c r="AB61">
        <v>0.240786</v>
      </c>
      <c r="AC61">
        <v>0</v>
      </c>
      <c r="AD61">
        <v>0</v>
      </c>
      <c r="AE61">
        <v>0</v>
      </c>
      <c r="AG61">
        <f t="array" ref="AG61:AH61">T1T2(T61,S61,V61,X61,Y61)</f>
        <v>0.51758577488907975</v>
      </c>
      <c r="AH61">
        <v>0.13205337588421326</v>
      </c>
      <c r="AJ61">
        <f t="array" ref="AJ61:AM61">Canay(T61,AB61,S61,V61,AG61,AH61)</f>
        <v>1.9045015735359334</v>
      </c>
      <c r="AK61">
        <v>0.67291703627359822</v>
      </c>
      <c r="AL61">
        <v>1.8833147515948105</v>
      </c>
      <c r="AM61">
        <v>9.9719426400097094E-2</v>
      </c>
      <c r="AO61" s="1">
        <f t="array" ref="AO61:AR61">Niipt(T61,AB61,S61,V61,X61,Y61)</f>
        <v>0</v>
      </c>
      <c r="AP61" s="1">
        <v>0</v>
      </c>
      <c r="AQ61" s="1">
        <v>0</v>
      </c>
      <c r="AR61" s="1">
        <v>0</v>
      </c>
      <c r="AT61" s="1">
        <f t="shared" si="1"/>
        <v>0</v>
      </c>
      <c r="AU61" s="1">
        <f t="shared" si="2"/>
        <v>0</v>
      </c>
      <c r="AV61" s="1">
        <f t="shared" si="3"/>
        <v>0</v>
      </c>
      <c r="AW61" s="1">
        <f t="shared" si="4"/>
        <v>0</v>
      </c>
    </row>
    <row r="62" spans="1:49" x14ac:dyDescent="0.25">
      <c r="A62" t="s">
        <v>31</v>
      </c>
      <c r="B62" t="s">
        <v>31</v>
      </c>
      <c r="C62">
        <v>60608055</v>
      </c>
      <c r="D62" t="s">
        <v>94</v>
      </c>
      <c r="E62">
        <v>60608005</v>
      </c>
      <c r="F62" t="s">
        <v>34</v>
      </c>
      <c r="G62">
        <v>0</v>
      </c>
      <c r="H62">
        <v>1</v>
      </c>
      <c r="I62">
        <v>60608055</v>
      </c>
      <c r="J62">
        <v>0</v>
      </c>
      <c r="K62">
        <v>0</v>
      </c>
      <c r="L62">
        <v>30.750001910000002</v>
      </c>
      <c r="M62">
        <v>9.6996385187946785</v>
      </c>
      <c r="N62">
        <v>36</v>
      </c>
      <c r="O62">
        <v>6.3</v>
      </c>
      <c r="P62">
        <v>0.8</v>
      </c>
      <c r="Q62">
        <v>1</v>
      </c>
      <c r="R62">
        <v>5.851</v>
      </c>
      <c r="S62">
        <v>0.16758000000000001</v>
      </c>
      <c r="T62">
        <v>1.9844999999999997</v>
      </c>
      <c r="U62">
        <v>1.88748</v>
      </c>
      <c r="V62">
        <v>0.10584</v>
      </c>
      <c r="W62">
        <v>0.14993999999999999</v>
      </c>
      <c r="X62">
        <v>9.85</v>
      </c>
      <c r="Y62">
        <v>0.2</v>
      </c>
      <c r="Z62">
        <v>0.5</v>
      </c>
      <c r="AA62">
        <v>0</v>
      </c>
      <c r="AB62">
        <v>3.9689999999999996E-2</v>
      </c>
      <c r="AC62">
        <v>0</v>
      </c>
      <c r="AD62">
        <v>0</v>
      </c>
      <c r="AE62">
        <v>0</v>
      </c>
      <c r="AG62">
        <f t="array" ref="AG62:AH62">T1T2(T62,S62,V62,X62,Y62)</f>
        <v>0.75584139144443352</v>
      </c>
      <c r="AH62">
        <v>0.13900623577372681</v>
      </c>
      <c r="AJ62">
        <f t="array" ref="AJ62:AM62">Canay(T62,AB62,S62,V62,AG62,AH62)</f>
        <v>0.25662847320150972</v>
      </c>
      <c r="AK62">
        <v>0.15281778288044345</v>
      </c>
      <c r="AL62">
        <v>1.1026983461604962</v>
      </c>
      <c r="AM62">
        <v>0.12408136560985032</v>
      </c>
      <c r="AO62" s="1">
        <f t="array" ref="AO62:AR62">Niipt(T62,AB62,S62,V62,X62,Y62)</f>
        <v>0.25540474566304583</v>
      </c>
      <c r="AP62" s="1">
        <v>0.13689196601941747</v>
      </c>
      <c r="AQ62" s="1">
        <v>1.0960488562089989</v>
      </c>
      <c r="AR62" s="1">
        <v>0.13702500000000001</v>
      </c>
      <c r="AT62" s="1">
        <f t="shared" si="1"/>
        <v>0.47684792073052529</v>
      </c>
      <c r="AU62" s="1">
        <f t="shared" si="2"/>
        <v>10.421442165199778</v>
      </c>
      <c r="AV62" s="1">
        <f t="shared" si="3"/>
        <v>0.60301985349395404</v>
      </c>
      <c r="AW62" s="1">
        <f t="shared" si="4"/>
        <v>-10.431569902968688</v>
      </c>
    </row>
    <row r="63" spans="1:49" x14ac:dyDescent="0.25">
      <c r="A63" t="s">
        <v>31</v>
      </c>
      <c r="B63" t="s">
        <v>31</v>
      </c>
      <c r="C63">
        <v>60609003</v>
      </c>
      <c r="D63" t="s">
        <v>95</v>
      </c>
      <c r="E63">
        <v>60609002</v>
      </c>
      <c r="F63" t="s">
        <v>34</v>
      </c>
      <c r="G63">
        <v>0</v>
      </c>
      <c r="H63">
        <v>1</v>
      </c>
      <c r="I63">
        <v>60609003</v>
      </c>
      <c r="J63">
        <v>0</v>
      </c>
      <c r="K63">
        <v>0</v>
      </c>
      <c r="L63">
        <v>15.28961468</v>
      </c>
      <c r="M63">
        <v>5.4095064335220098</v>
      </c>
      <c r="N63">
        <v>24</v>
      </c>
      <c r="O63">
        <v>6.3</v>
      </c>
      <c r="P63">
        <v>0.8</v>
      </c>
      <c r="Q63">
        <v>1</v>
      </c>
      <c r="R63">
        <v>9.6790000000000003</v>
      </c>
      <c r="S63">
        <v>0.33074999999999999</v>
      </c>
      <c r="T63">
        <v>3.8763899999999998</v>
      </c>
      <c r="U63">
        <v>3.8763899999999998</v>
      </c>
      <c r="V63">
        <v>0.17331299999999997</v>
      </c>
      <c r="W63">
        <v>0.17331299999999997</v>
      </c>
      <c r="X63">
        <v>10</v>
      </c>
      <c r="Y63">
        <v>0.2</v>
      </c>
      <c r="Z63">
        <v>0.5</v>
      </c>
      <c r="AA63">
        <v>0</v>
      </c>
      <c r="AB63">
        <v>0.15875999999999998</v>
      </c>
      <c r="AC63">
        <v>0</v>
      </c>
      <c r="AD63">
        <v>0</v>
      </c>
      <c r="AE63">
        <v>0</v>
      </c>
      <c r="AG63">
        <f t="array" ref="AG63:AH63">T1T2(T63,S63,V63,X63,Y63)</f>
        <v>0.75217140178127395</v>
      </c>
      <c r="AH63">
        <v>0.11888220558516477</v>
      </c>
      <c r="AJ63">
        <f t="array" ref="AJ63:AM63">Canay(T63,AB63,S63,V63,AG63,AH63)</f>
        <v>0.6682219445265225</v>
      </c>
      <c r="AK63">
        <v>0.30435866093302671</v>
      </c>
      <c r="AL63">
        <v>0.89283053955039826</v>
      </c>
      <c r="AM63">
        <v>1.5346893067393555E-2</v>
      </c>
      <c r="AO63" s="1">
        <f t="array" ref="AO63:AR63">Niipt(T63,AB63,S63,V63,X63,Y63)</f>
        <v>0</v>
      </c>
      <c r="AP63" s="1">
        <v>0</v>
      </c>
      <c r="AQ63" s="1">
        <v>0</v>
      </c>
      <c r="AR63" s="1">
        <v>0</v>
      </c>
      <c r="AT63" s="1">
        <f t="shared" si="1"/>
        <v>0</v>
      </c>
      <c r="AU63" s="1">
        <f t="shared" si="2"/>
        <v>0</v>
      </c>
      <c r="AV63" s="1">
        <f t="shared" si="3"/>
        <v>0</v>
      </c>
      <c r="AW63" s="1">
        <f t="shared" si="4"/>
        <v>0</v>
      </c>
    </row>
    <row r="64" spans="1:49" x14ac:dyDescent="0.25">
      <c r="A64" t="s">
        <v>31</v>
      </c>
      <c r="B64" t="s">
        <v>31</v>
      </c>
      <c r="C64">
        <v>60609006</v>
      </c>
      <c r="D64" t="s">
        <v>96</v>
      </c>
      <c r="E64">
        <v>60609002</v>
      </c>
      <c r="F64" t="s">
        <v>34</v>
      </c>
      <c r="G64">
        <v>0</v>
      </c>
      <c r="H64">
        <v>1</v>
      </c>
      <c r="I64">
        <v>60609006</v>
      </c>
      <c r="J64">
        <v>0</v>
      </c>
      <c r="K64">
        <v>0</v>
      </c>
      <c r="L64">
        <v>23.963174819999999</v>
      </c>
      <c r="M64">
        <v>7.5515332289220289</v>
      </c>
      <c r="N64">
        <v>36</v>
      </c>
      <c r="O64">
        <v>6.3</v>
      </c>
      <c r="P64">
        <v>0.8</v>
      </c>
      <c r="Q64">
        <v>1</v>
      </c>
      <c r="R64">
        <v>5.9179999999999993</v>
      </c>
      <c r="S64">
        <v>0.16758000000000001</v>
      </c>
      <c r="T64">
        <v>1.9844999999999997</v>
      </c>
      <c r="U64">
        <v>1.88748</v>
      </c>
      <c r="V64">
        <v>0.106722</v>
      </c>
      <c r="W64">
        <v>0.14993999999999999</v>
      </c>
      <c r="X64">
        <v>9.85</v>
      </c>
      <c r="Y64">
        <v>0.2</v>
      </c>
      <c r="Z64">
        <v>0.5</v>
      </c>
      <c r="AA64">
        <v>0</v>
      </c>
      <c r="AB64">
        <v>0.10584</v>
      </c>
      <c r="AC64">
        <v>0</v>
      </c>
      <c r="AD64">
        <v>0</v>
      </c>
      <c r="AE64">
        <v>0</v>
      </c>
      <c r="AG64">
        <f t="array" ref="AG64:AH64">T1T2(T64,S64,V64,X64,Y64)</f>
        <v>0.75704824485020406</v>
      </c>
      <c r="AH64">
        <v>0.13994117672538139</v>
      </c>
      <c r="AJ64">
        <f t="array" ref="AJ64:AM64">Canay(T64,AB64,S64,V64,AG64,AH64)</f>
        <v>0.41741926456079231</v>
      </c>
      <c r="AK64">
        <v>0.15815422975314011</v>
      </c>
      <c r="AL64">
        <v>0.36351650857937295</v>
      </c>
      <c r="AM64">
        <v>8.8736529300149599E-4</v>
      </c>
      <c r="AO64" s="1">
        <f t="array" ref="AO64:AR64">Niipt(T64,AB64,S64,V64,X64,Y64)</f>
        <v>0</v>
      </c>
      <c r="AP64" s="1">
        <v>0</v>
      </c>
      <c r="AQ64" s="1">
        <v>0</v>
      </c>
      <c r="AR64" s="1">
        <v>0</v>
      </c>
      <c r="AT64" s="1">
        <f t="shared" si="1"/>
        <v>0</v>
      </c>
      <c r="AU64" s="1">
        <f t="shared" si="2"/>
        <v>0</v>
      </c>
      <c r="AV64" s="1">
        <f t="shared" si="3"/>
        <v>0</v>
      </c>
      <c r="AW64" s="1">
        <f t="shared" si="4"/>
        <v>0</v>
      </c>
    </row>
    <row r="65" spans="1:49" x14ac:dyDescent="0.25">
      <c r="A65" t="s">
        <v>31</v>
      </c>
      <c r="B65" t="s">
        <v>32</v>
      </c>
      <c r="C65">
        <v>60609004</v>
      </c>
      <c r="D65" t="s">
        <v>97</v>
      </c>
      <c r="E65">
        <v>60609002</v>
      </c>
      <c r="F65" t="s">
        <v>34</v>
      </c>
      <c r="G65">
        <v>0</v>
      </c>
      <c r="H65">
        <v>1</v>
      </c>
      <c r="I65">
        <v>60609004</v>
      </c>
      <c r="J65">
        <v>0</v>
      </c>
      <c r="K65">
        <v>0</v>
      </c>
      <c r="L65">
        <v>0</v>
      </c>
      <c r="M65">
        <v>0</v>
      </c>
      <c r="N65">
        <v>40</v>
      </c>
      <c r="O65">
        <v>6.3</v>
      </c>
      <c r="P65">
        <v>0.8</v>
      </c>
      <c r="Q65">
        <v>1</v>
      </c>
      <c r="R65">
        <v>5.2649999999999997</v>
      </c>
      <c r="S65">
        <v>0.19606860000000001</v>
      </c>
      <c r="T65">
        <v>1.9209959999999997</v>
      </c>
      <c r="U65">
        <v>1.9209959999999997</v>
      </c>
      <c r="V65">
        <v>0.1246266</v>
      </c>
      <c r="W65">
        <v>0.1246266</v>
      </c>
      <c r="X65">
        <v>11.8</v>
      </c>
      <c r="Y65">
        <v>0.2</v>
      </c>
      <c r="Z65">
        <v>0.5</v>
      </c>
      <c r="AA65">
        <v>0</v>
      </c>
      <c r="AB65">
        <v>0.10319399999999998</v>
      </c>
      <c r="AC65">
        <v>0</v>
      </c>
      <c r="AD65">
        <v>0</v>
      </c>
      <c r="AE65">
        <v>0</v>
      </c>
      <c r="AG65">
        <f t="array" ref="AG65:AH65">T1T2(T65,S65,V65,X65,Y65)</f>
        <v>1.1335819151876896</v>
      </c>
      <c r="AH65">
        <v>0.1350651734693373</v>
      </c>
      <c r="AJ65">
        <f t="array" ref="AJ65:AM65">Canay(T65,AB65,S65,V65,AG65,AH65)</f>
        <v>0.22321071931998063</v>
      </c>
      <c r="AK65">
        <v>0.13708163251628805</v>
      </c>
      <c r="AL65">
        <v>0.56865429920562871</v>
      </c>
      <c r="AM65">
        <v>2.5764658526093952E-2</v>
      </c>
      <c r="AO65" s="1">
        <f t="array" ref="AO65:AR65">Niipt(T65,AB65,S65,V65,X65,Y65)</f>
        <v>0</v>
      </c>
      <c r="AP65" s="1">
        <v>0</v>
      </c>
      <c r="AQ65" s="1">
        <v>0</v>
      </c>
      <c r="AR65" s="1">
        <v>0</v>
      </c>
      <c r="AT65" s="1">
        <f t="shared" si="1"/>
        <v>0</v>
      </c>
      <c r="AU65" s="1">
        <f t="shared" si="2"/>
        <v>0</v>
      </c>
      <c r="AV65" s="1">
        <f t="shared" si="3"/>
        <v>0</v>
      </c>
      <c r="AW65" s="1">
        <f t="shared" si="4"/>
        <v>0</v>
      </c>
    </row>
    <row r="66" spans="1:49" x14ac:dyDescent="0.25">
      <c r="A66" t="s">
        <v>31</v>
      </c>
      <c r="B66" t="s">
        <v>31</v>
      </c>
      <c r="C66">
        <v>60603017</v>
      </c>
      <c r="D66" t="s">
        <v>98</v>
      </c>
      <c r="E66">
        <v>60603002</v>
      </c>
      <c r="F66" t="s">
        <v>34</v>
      </c>
      <c r="G66">
        <v>0</v>
      </c>
      <c r="H66">
        <v>1</v>
      </c>
      <c r="I66">
        <v>60603017</v>
      </c>
      <c r="J66">
        <v>0</v>
      </c>
      <c r="K66">
        <v>0</v>
      </c>
      <c r="L66">
        <v>38.603729250000001</v>
      </c>
      <c r="M66">
        <v>16.3105150689901</v>
      </c>
      <c r="N66">
        <v>55</v>
      </c>
      <c r="O66">
        <v>10.5</v>
      </c>
      <c r="P66">
        <v>0.85</v>
      </c>
      <c r="Q66">
        <v>1</v>
      </c>
      <c r="R66">
        <v>9.8510000000000009</v>
      </c>
      <c r="S66">
        <v>0.36462681818181797</v>
      </c>
      <c r="T66">
        <v>3.0158386363636396</v>
      </c>
      <c r="U66">
        <v>3.0158386363636396</v>
      </c>
      <c r="V66">
        <v>0.21979840909090897</v>
      </c>
      <c r="W66">
        <v>0.21979840909090897</v>
      </c>
      <c r="X66">
        <v>11.6</v>
      </c>
      <c r="Y66">
        <v>0.2</v>
      </c>
      <c r="Z66">
        <v>0.5</v>
      </c>
      <c r="AA66">
        <v>0</v>
      </c>
      <c r="AB66">
        <v>0.175497954545454</v>
      </c>
      <c r="AC66">
        <v>0</v>
      </c>
      <c r="AD66">
        <v>0</v>
      </c>
      <c r="AE66">
        <v>0</v>
      </c>
      <c r="AG66">
        <f t="array" ref="AG66:AH66">T1T2(T66,S66,V66,X66,Y66)</f>
        <v>1.3273276334750062</v>
      </c>
      <c r="AH66">
        <v>0.12738734695068443</v>
      </c>
      <c r="AJ66">
        <f t="array" ref="AJ66:AM66">Canay(T66,AB66,S66,V66,AG66,AH66)</f>
        <v>0.33276978107710087</v>
      </c>
      <c r="AK66">
        <v>0.25570496424358113</v>
      </c>
      <c r="AL66">
        <v>1.1597756430840034</v>
      </c>
      <c r="AM66">
        <v>5.461405687530576E-2</v>
      </c>
      <c r="AO66" s="1">
        <f t="array" ref="AO66:AR66">Niipt(T66,AB66,S66,V66,X66,Y66)</f>
        <v>0.35161450427350682</v>
      </c>
      <c r="AP66" s="1">
        <v>0.20262070416569328</v>
      </c>
      <c r="AQ66" s="1">
        <v>0.92130523957494215</v>
      </c>
      <c r="AR66" s="1">
        <v>5.7851181818182516E-2</v>
      </c>
      <c r="AT66" s="1">
        <f t="shared" si="1"/>
        <v>-5.6629911332122251</v>
      </c>
      <c r="AU66" s="1">
        <f t="shared" si="2"/>
        <v>20.759964608008353</v>
      </c>
      <c r="AV66" s="1">
        <f t="shared" si="3"/>
        <v>20.561770281270569</v>
      </c>
      <c r="AW66" s="1">
        <f t="shared" si="4"/>
        <v>-5.9272742734855361</v>
      </c>
    </row>
    <row r="67" spans="1:49" x14ac:dyDescent="0.25">
      <c r="A67" t="s">
        <v>31</v>
      </c>
      <c r="B67" t="s">
        <v>31</v>
      </c>
      <c r="C67">
        <v>60603022</v>
      </c>
      <c r="D67" t="s">
        <v>99</v>
      </c>
      <c r="E67">
        <v>60603007</v>
      </c>
      <c r="F67" t="s">
        <v>34</v>
      </c>
      <c r="G67">
        <v>0</v>
      </c>
      <c r="H67">
        <v>1</v>
      </c>
      <c r="I67">
        <v>60603022</v>
      </c>
      <c r="J67">
        <v>0</v>
      </c>
      <c r="K67">
        <v>0</v>
      </c>
      <c r="L67">
        <v>31.6047802</v>
      </c>
      <c r="M67">
        <v>22.2638127102251</v>
      </c>
      <c r="N67">
        <v>57.5</v>
      </c>
      <c r="O67">
        <v>10.5</v>
      </c>
      <c r="P67">
        <v>0.8</v>
      </c>
      <c r="Q67">
        <v>1</v>
      </c>
      <c r="R67">
        <v>9.4220000000000006</v>
      </c>
      <c r="S67">
        <v>0.30678260869565194</v>
      </c>
      <c r="T67">
        <v>2.8208660869565199</v>
      </c>
      <c r="U67">
        <v>2.8208660869565199</v>
      </c>
      <c r="V67">
        <v>0.20554434782608696</v>
      </c>
      <c r="W67">
        <v>0.30678260869565194</v>
      </c>
      <c r="X67">
        <v>11.6</v>
      </c>
      <c r="Y67">
        <v>0.2</v>
      </c>
      <c r="Z67">
        <v>0.5</v>
      </c>
      <c r="AA67">
        <v>0</v>
      </c>
      <c r="AB67">
        <v>0.16827026086956501</v>
      </c>
      <c r="AC67">
        <v>0</v>
      </c>
      <c r="AD67">
        <v>0</v>
      </c>
      <c r="AE67">
        <v>0</v>
      </c>
      <c r="AG67">
        <f t="array" ref="AG67:AH67">T1T2(T67,S67,V67,X67,Y67)</f>
        <v>1.1984934489947976</v>
      </c>
      <c r="AH67">
        <v>0.14105074667625744</v>
      </c>
      <c r="AJ67">
        <f t="array" ref="AJ67:AM67">Canay(T67,AB67,S67,V67,AG67,AH67)</f>
        <v>0.32592621307803865</v>
      </c>
      <c r="AK67">
        <v>0.20328177449064855</v>
      </c>
      <c r="AL67">
        <v>0.88852664511491386</v>
      </c>
      <c r="AM67">
        <v>4.6442460508041461E-2</v>
      </c>
      <c r="AO67" s="1">
        <f t="array" ref="AO67:AR67">Niipt(T67,AB67,S67,V67,X67,Y67)</f>
        <v>0.3882516761296903</v>
      </c>
      <c r="AP67" s="1">
        <v>0.14614362604981826</v>
      </c>
      <c r="AQ67" s="1">
        <v>0.58883477608820722</v>
      </c>
      <c r="AR67" s="1">
        <v>5.0997728063241508E-2</v>
      </c>
      <c r="AT67" s="1">
        <f t="shared" ref="AT67:AT130" si="5">IF(AO67&gt;0,(AJ67-AO67)/AJ67*100,0)</f>
        <v>-19.122568406834052</v>
      </c>
      <c r="AU67" s="1">
        <f t="shared" si="2"/>
        <v>28.107855996435521</v>
      </c>
      <c r="AV67" s="1">
        <f t="shared" si="3"/>
        <v>33.729080683669004</v>
      </c>
      <c r="AW67" s="1">
        <f t="shared" si="4"/>
        <v>-9.8084113231065952</v>
      </c>
    </row>
    <row r="68" spans="1:49" x14ac:dyDescent="0.25">
      <c r="A68" t="s">
        <v>31</v>
      </c>
      <c r="B68" t="s">
        <v>32</v>
      </c>
      <c r="C68">
        <v>60603018</v>
      </c>
      <c r="D68" t="s">
        <v>100</v>
      </c>
      <c r="E68">
        <v>60603003</v>
      </c>
      <c r="F68" t="s">
        <v>34</v>
      </c>
      <c r="G68">
        <v>0</v>
      </c>
      <c r="H68">
        <v>1</v>
      </c>
      <c r="I68">
        <v>60603018</v>
      </c>
      <c r="J68">
        <v>0</v>
      </c>
      <c r="K68">
        <v>0</v>
      </c>
      <c r="L68">
        <v>0</v>
      </c>
      <c r="M68">
        <v>0</v>
      </c>
      <c r="N68">
        <v>57.5</v>
      </c>
      <c r="O68">
        <v>10.5</v>
      </c>
      <c r="P68">
        <v>0.8</v>
      </c>
      <c r="Q68">
        <v>1</v>
      </c>
      <c r="R68">
        <v>9.4220000000000006</v>
      </c>
      <c r="S68">
        <v>0.30678260869565194</v>
      </c>
      <c r="T68">
        <v>2.8208660869565199</v>
      </c>
      <c r="U68">
        <v>2.8208660869565199</v>
      </c>
      <c r="V68">
        <v>0.20554434782608696</v>
      </c>
      <c r="W68">
        <v>0.30678260869565194</v>
      </c>
      <c r="X68">
        <v>11.6</v>
      </c>
      <c r="Y68">
        <v>0.2</v>
      </c>
      <c r="Z68">
        <v>0.5</v>
      </c>
      <c r="AA68">
        <v>0</v>
      </c>
      <c r="AB68">
        <v>0.16827026086956501</v>
      </c>
      <c r="AC68">
        <v>0</v>
      </c>
      <c r="AD68">
        <v>0</v>
      </c>
      <c r="AE68">
        <v>0</v>
      </c>
      <c r="AG68">
        <f t="array" ref="AG68:AH68">T1T2(T68,S68,V68,X68,Y68)</f>
        <v>1.1984934489947976</v>
      </c>
      <c r="AH68">
        <v>0.14105074667625744</v>
      </c>
      <c r="AJ68">
        <f t="array" ref="AJ68:AM68">Canay(T68,AB68,S68,V68,AG68,AH68)</f>
        <v>0.32592621307803865</v>
      </c>
      <c r="AK68">
        <v>0.20328177449064855</v>
      </c>
      <c r="AL68">
        <v>0.88852664511491386</v>
      </c>
      <c r="AM68">
        <v>4.6442460508041461E-2</v>
      </c>
      <c r="AO68" s="1">
        <f t="array" ref="AO68:AR68">Niipt(T68,AB68,S68,V68,X68,Y68)</f>
        <v>0.3882516761296903</v>
      </c>
      <c r="AP68" s="1">
        <v>0.14614362604981826</v>
      </c>
      <c r="AQ68" s="1">
        <v>0.58883477608820722</v>
      </c>
      <c r="AR68" s="1">
        <v>5.0997728063241508E-2</v>
      </c>
      <c r="AT68" s="1">
        <f t="shared" si="5"/>
        <v>-19.122568406834052</v>
      </c>
      <c r="AU68" s="1">
        <f t="shared" si="2"/>
        <v>28.107855996435521</v>
      </c>
      <c r="AV68" s="1">
        <f t="shared" si="3"/>
        <v>33.729080683669004</v>
      </c>
      <c r="AW68" s="1">
        <f t="shared" si="4"/>
        <v>-9.8084113231065952</v>
      </c>
    </row>
    <row r="69" spans="1:49" x14ac:dyDescent="0.25">
      <c r="A69" t="s">
        <v>31</v>
      </c>
      <c r="B69" t="s">
        <v>32</v>
      </c>
      <c r="C69">
        <v>60603016</v>
      </c>
      <c r="D69" t="s">
        <v>101</v>
      </c>
      <c r="E69">
        <v>60603001</v>
      </c>
      <c r="F69" t="s">
        <v>34</v>
      </c>
      <c r="G69">
        <v>0</v>
      </c>
      <c r="H69">
        <v>1</v>
      </c>
      <c r="I69">
        <v>60603016</v>
      </c>
      <c r="J69">
        <v>0</v>
      </c>
      <c r="K69">
        <v>0</v>
      </c>
      <c r="L69">
        <v>0</v>
      </c>
      <c r="M69">
        <v>0</v>
      </c>
      <c r="N69">
        <v>53.5</v>
      </c>
      <c r="O69">
        <v>10.5</v>
      </c>
      <c r="P69">
        <v>0.85</v>
      </c>
      <c r="Q69">
        <v>1</v>
      </c>
      <c r="R69">
        <v>10.127000000000001</v>
      </c>
      <c r="S69">
        <v>0.37485000000000002</v>
      </c>
      <c r="T69">
        <v>3.1003948598130795</v>
      </c>
      <c r="U69">
        <v>3.1003948598130795</v>
      </c>
      <c r="V69">
        <v>0.225960981308411</v>
      </c>
      <c r="W69">
        <v>0.225960981308411</v>
      </c>
      <c r="X69">
        <v>11.6</v>
      </c>
      <c r="Y69">
        <v>0.2</v>
      </c>
      <c r="Z69">
        <v>0.5</v>
      </c>
      <c r="AA69">
        <v>0</v>
      </c>
      <c r="AB69">
        <v>0.180418457943925</v>
      </c>
      <c r="AC69">
        <v>0</v>
      </c>
      <c r="AD69">
        <v>0</v>
      </c>
      <c r="AE69">
        <v>0</v>
      </c>
      <c r="AG69">
        <f t="array" ref="AG69:AH69">T1T2(T69,S69,V69,X69,Y69)</f>
        <v>1.3273276334750104</v>
      </c>
      <c r="AH69">
        <v>0.12738734695068432</v>
      </c>
      <c r="AJ69">
        <f t="array" ref="AJ69:AM69">Canay(T69,AB69,S69,V69,AG69,AH69)</f>
        <v>0.34209977493907462</v>
      </c>
      <c r="AK69">
        <v>0.26287426230648508</v>
      </c>
      <c r="AL69">
        <v>1.192292717189158</v>
      </c>
      <c r="AM69">
        <v>5.6145292114799628E-2</v>
      </c>
      <c r="AO69" s="1">
        <f t="array" ref="AO69:AR69">Niipt(T69,AB69,S69,V69,X69,Y69)</f>
        <v>0.36147285486061387</v>
      </c>
      <c r="AP69" s="1">
        <v>0.20830165848809581</v>
      </c>
      <c r="AQ69" s="1">
        <v>0.94713622760040295</v>
      </c>
      <c r="AR69" s="1">
        <v>5.9473177570093461E-2</v>
      </c>
      <c r="AT69" s="1">
        <f t="shared" si="5"/>
        <v>-5.6629911332123637</v>
      </c>
      <c r="AU69" s="1">
        <f t="shared" si="2"/>
        <v>20.759964608008325</v>
      </c>
      <c r="AV69" s="1">
        <f t="shared" si="3"/>
        <v>20.561770281270686</v>
      </c>
      <c r="AW69" s="1">
        <f t="shared" si="4"/>
        <v>-5.9272742734855566</v>
      </c>
    </row>
    <row r="70" spans="1:49" x14ac:dyDescent="0.25">
      <c r="A70" t="s">
        <v>31</v>
      </c>
      <c r="B70" t="s">
        <v>31</v>
      </c>
      <c r="C70">
        <v>60603021</v>
      </c>
      <c r="D70" t="s">
        <v>102</v>
      </c>
      <c r="E70">
        <v>60603006</v>
      </c>
      <c r="F70" t="s">
        <v>34</v>
      </c>
      <c r="G70">
        <v>0</v>
      </c>
      <c r="H70">
        <v>1</v>
      </c>
      <c r="I70">
        <v>60603021</v>
      </c>
      <c r="J70">
        <v>0</v>
      </c>
      <c r="K70">
        <v>0</v>
      </c>
      <c r="L70">
        <v>60.495681759999997</v>
      </c>
      <c r="M70">
        <v>48.549717580100101</v>
      </c>
      <c r="N70">
        <v>110</v>
      </c>
      <c r="O70">
        <v>10.5</v>
      </c>
      <c r="P70">
        <v>0.8</v>
      </c>
      <c r="Q70">
        <v>1</v>
      </c>
      <c r="R70">
        <v>4.7299999999999995</v>
      </c>
      <c r="S70">
        <v>0.217292727272727</v>
      </c>
      <c r="T70">
        <v>1.63330363636364</v>
      </c>
      <c r="U70">
        <v>1.4721381818181798</v>
      </c>
      <c r="V70">
        <v>0.15154363636363596</v>
      </c>
      <c r="W70">
        <v>0.16677818181818196</v>
      </c>
      <c r="X70">
        <v>6.7</v>
      </c>
      <c r="Y70">
        <v>0.2</v>
      </c>
      <c r="Z70">
        <v>0.5</v>
      </c>
      <c r="AA70">
        <v>0</v>
      </c>
      <c r="AB70">
        <v>0.144327272727273</v>
      </c>
      <c r="AC70">
        <v>0</v>
      </c>
      <c r="AD70">
        <v>0</v>
      </c>
      <c r="AE70">
        <v>0</v>
      </c>
      <c r="AG70">
        <f t="array" ref="AG70:AH70">T1T2(T70,S70,V70,X70,Y70)</f>
        <v>0.83339448144708017</v>
      </c>
      <c r="AH70">
        <v>0.14918492943621767</v>
      </c>
      <c r="AJ70">
        <f t="array" ref="AJ70:AM70">Canay(T70,AB70,S70,V70,AG70,AH70)</f>
        <v>0.46108505383805909</v>
      </c>
      <c r="AK70">
        <v>0.18095401680760873</v>
      </c>
      <c r="AL70">
        <v>0.45650155695603029</v>
      </c>
      <c r="AM70">
        <v>7.5542348776273024E-3</v>
      </c>
      <c r="AO70" s="1">
        <f t="array" ref="AO70:AR70">Niipt(T70,AB70,S70,V70,X70,Y70)</f>
        <v>0</v>
      </c>
      <c r="AP70" s="1">
        <v>0</v>
      </c>
      <c r="AQ70" s="1">
        <v>0</v>
      </c>
      <c r="AR70" s="1">
        <v>0</v>
      </c>
      <c r="AT70" s="1">
        <f t="shared" si="5"/>
        <v>0</v>
      </c>
      <c r="AU70" s="1">
        <f t="shared" si="2"/>
        <v>0</v>
      </c>
      <c r="AV70" s="1">
        <f t="shared" si="3"/>
        <v>0</v>
      </c>
      <c r="AW70" s="1">
        <f t="shared" si="4"/>
        <v>0</v>
      </c>
    </row>
    <row r="71" spans="1:49" x14ac:dyDescent="0.25">
      <c r="A71" t="s">
        <v>31</v>
      </c>
      <c r="B71" t="s">
        <v>31</v>
      </c>
      <c r="C71">
        <v>60603020</v>
      </c>
      <c r="D71" t="s">
        <v>103</v>
      </c>
      <c r="E71">
        <v>60603005</v>
      </c>
      <c r="F71" t="s">
        <v>34</v>
      </c>
      <c r="G71">
        <v>0</v>
      </c>
      <c r="H71">
        <v>1</v>
      </c>
      <c r="I71">
        <v>60603020</v>
      </c>
      <c r="J71">
        <v>0</v>
      </c>
      <c r="K71">
        <v>0</v>
      </c>
      <c r="L71">
        <v>58.32267761</v>
      </c>
      <c r="M71">
        <v>14.487270513807401</v>
      </c>
      <c r="N71">
        <v>110</v>
      </c>
      <c r="O71">
        <v>10.5</v>
      </c>
      <c r="P71">
        <v>0.8</v>
      </c>
      <c r="Q71">
        <v>1</v>
      </c>
      <c r="R71">
        <v>9.3259999999999987</v>
      </c>
      <c r="S71">
        <v>0.20847272727272698</v>
      </c>
      <c r="T71">
        <v>1.5948163636363597</v>
      </c>
      <c r="U71">
        <v>1.4352545454545498</v>
      </c>
      <c r="V71">
        <v>0.14352545454545498</v>
      </c>
      <c r="W71">
        <v>0.17239090909090898</v>
      </c>
      <c r="X71">
        <v>9.5</v>
      </c>
      <c r="Y71">
        <v>0.2</v>
      </c>
      <c r="Z71">
        <v>0.5</v>
      </c>
      <c r="AA71">
        <v>0</v>
      </c>
      <c r="AB71">
        <v>0.13630909090909096</v>
      </c>
      <c r="AC71">
        <v>0</v>
      </c>
      <c r="AD71">
        <v>0</v>
      </c>
      <c r="AE71">
        <v>0</v>
      </c>
      <c r="AG71">
        <f t="array" ref="AG71:AH71">T1T2(T71,S71,V71,X71,Y71)</f>
        <v>1.1837251993919666</v>
      </c>
      <c r="AH71">
        <v>0.14445113405448132</v>
      </c>
      <c r="AJ71">
        <f t="array" ref="AJ71:AM71">Canay(T71,AB71,S71,V71,AG71,AH71)</f>
        <v>0.25287107541420628</v>
      </c>
      <c r="AK71">
        <v>0.13350504614007203</v>
      </c>
      <c r="AL71">
        <v>0.43068952624932277</v>
      </c>
      <c r="AM71">
        <v>7.6688315106588278E-3</v>
      </c>
      <c r="AO71" s="1">
        <f t="array" ref="AO71:AR71">Niipt(T71,AB71,S71,V71,X71,Y71)</f>
        <v>0</v>
      </c>
      <c r="AP71" s="1">
        <v>0</v>
      </c>
      <c r="AQ71" s="1">
        <v>0</v>
      </c>
      <c r="AR71" s="1">
        <v>0</v>
      </c>
      <c r="AT71" s="1">
        <f t="shared" si="5"/>
        <v>0</v>
      </c>
      <c r="AU71" s="1">
        <f t="shared" si="2"/>
        <v>0</v>
      </c>
      <c r="AV71" s="1">
        <f t="shared" si="3"/>
        <v>0</v>
      </c>
      <c r="AW71" s="1">
        <f t="shared" si="4"/>
        <v>0</v>
      </c>
    </row>
    <row r="72" spans="1:49" x14ac:dyDescent="0.25">
      <c r="A72" t="s">
        <v>31</v>
      </c>
      <c r="B72" t="s">
        <v>31</v>
      </c>
      <c r="C72">
        <v>60603019</v>
      </c>
      <c r="D72" t="s">
        <v>104</v>
      </c>
      <c r="E72">
        <v>60603004</v>
      </c>
      <c r="F72" t="s">
        <v>34</v>
      </c>
      <c r="G72">
        <v>0</v>
      </c>
      <c r="H72">
        <v>1</v>
      </c>
      <c r="I72">
        <v>60603019</v>
      </c>
      <c r="J72">
        <v>0</v>
      </c>
      <c r="K72">
        <v>0</v>
      </c>
      <c r="L72">
        <v>29.07182693</v>
      </c>
      <c r="M72">
        <v>94.448710856445203</v>
      </c>
      <c r="N72">
        <v>100</v>
      </c>
      <c r="O72">
        <v>10.5</v>
      </c>
      <c r="P72">
        <v>0.8</v>
      </c>
      <c r="Q72">
        <v>1</v>
      </c>
      <c r="R72">
        <v>5.294999999999999</v>
      </c>
      <c r="S72">
        <v>0.245196</v>
      </c>
      <c r="T72">
        <v>1.6819740000000001</v>
      </c>
      <c r="U72">
        <v>1.513512</v>
      </c>
      <c r="V72">
        <v>0.16934399999999997</v>
      </c>
      <c r="W72">
        <v>0.18610199999999999</v>
      </c>
      <c r="X72">
        <v>6.45</v>
      </c>
      <c r="Y72">
        <v>0.2</v>
      </c>
      <c r="Z72">
        <v>0.5</v>
      </c>
      <c r="AA72">
        <v>0</v>
      </c>
      <c r="AB72">
        <v>0.15346799999999997</v>
      </c>
      <c r="AC72">
        <v>0</v>
      </c>
      <c r="AD72">
        <v>0</v>
      </c>
      <c r="AE72">
        <v>0</v>
      </c>
      <c r="AG72">
        <f t="array" ref="AG72:AH72">T1T2(T72,S72,V72,X72,Y72)</f>
        <v>0.88200386806303066</v>
      </c>
      <c r="AH72">
        <v>0.14725490036677885</v>
      </c>
      <c r="AJ72">
        <f t="array" ref="AJ72:AM72">Canay(T72,AB72,S72,V72,AG72,AH72)</f>
        <v>0.43768079844104957</v>
      </c>
      <c r="AK72">
        <v>0.18997308851605113</v>
      </c>
      <c r="AL72">
        <v>0.56762681452480113</v>
      </c>
      <c r="AM72">
        <v>1.7522334492764968E-2</v>
      </c>
      <c r="AO72" s="1">
        <f t="array" ref="AO72:AR72">Niipt(T72,AB72,S72,V72,X72,Y72)</f>
        <v>0</v>
      </c>
      <c r="AP72" s="1">
        <v>0</v>
      </c>
      <c r="AQ72" s="1">
        <v>0</v>
      </c>
      <c r="AR72" s="1">
        <v>0</v>
      </c>
      <c r="AT72" s="1">
        <f t="shared" si="5"/>
        <v>0</v>
      </c>
      <c r="AU72" s="1">
        <f t="shared" si="2"/>
        <v>0</v>
      </c>
      <c r="AV72" s="1">
        <f t="shared" si="3"/>
        <v>0</v>
      </c>
      <c r="AW72" s="1">
        <f t="shared" si="4"/>
        <v>0</v>
      </c>
    </row>
    <row r="73" spans="1:49" x14ac:dyDescent="0.25">
      <c r="A73" t="s">
        <v>31</v>
      </c>
      <c r="B73" t="s">
        <v>32</v>
      </c>
      <c r="C73">
        <v>60603023</v>
      </c>
      <c r="D73" t="s">
        <v>105</v>
      </c>
      <c r="E73">
        <v>60603008</v>
      </c>
      <c r="F73" t="s">
        <v>34</v>
      </c>
      <c r="G73">
        <v>0</v>
      </c>
      <c r="H73">
        <v>1</v>
      </c>
      <c r="I73">
        <v>60603023</v>
      </c>
      <c r="J73">
        <v>0</v>
      </c>
      <c r="K73">
        <v>0</v>
      </c>
      <c r="L73">
        <v>0</v>
      </c>
      <c r="M73">
        <v>0</v>
      </c>
      <c r="N73">
        <v>110</v>
      </c>
      <c r="O73">
        <v>10.5</v>
      </c>
      <c r="P73">
        <v>0.8</v>
      </c>
      <c r="Q73">
        <v>1</v>
      </c>
      <c r="R73">
        <v>3.7839999999999994</v>
      </c>
      <c r="S73">
        <v>0.27161590909090894</v>
      </c>
      <c r="T73">
        <v>2.0416295454545499</v>
      </c>
      <c r="U73">
        <v>1.84017272727273</v>
      </c>
      <c r="V73">
        <v>0.18942954545454499</v>
      </c>
      <c r="W73">
        <v>0.20847272727272698</v>
      </c>
      <c r="X73">
        <v>6.7</v>
      </c>
      <c r="Y73">
        <v>0.2</v>
      </c>
      <c r="Z73">
        <v>0.5</v>
      </c>
      <c r="AA73">
        <v>0</v>
      </c>
      <c r="AB73">
        <v>0.18040909090909096</v>
      </c>
      <c r="AC73">
        <v>0</v>
      </c>
      <c r="AD73">
        <v>0</v>
      </c>
      <c r="AE73">
        <v>0</v>
      </c>
      <c r="AG73">
        <f t="array" ref="AG73:AH73">T1T2(T73,S73,V73,X73,Y73)</f>
        <v>0.83339448144708084</v>
      </c>
      <c r="AH73">
        <v>0.14918492943621756</v>
      </c>
      <c r="AJ73">
        <f t="array" ref="AJ73:AM73">Canay(T73,AB73,S73,V73,AG73,AH73)</f>
        <v>0.57635631729757231</v>
      </c>
      <c r="AK73">
        <v>0.22619252100951068</v>
      </c>
      <c r="AL73">
        <v>0.57062694619504017</v>
      </c>
      <c r="AM73">
        <v>9.4427935970344771E-3</v>
      </c>
      <c r="AO73" s="1">
        <f t="array" ref="AO73:AR73">Niipt(T73,AB73,S73,V73,X73,Y73)</f>
        <v>0</v>
      </c>
      <c r="AP73" s="1">
        <v>0</v>
      </c>
      <c r="AQ73" s="1">
        <v>0</v>
      </c>
      <c r="AR73" s="1">
        <v>0</v>
      </c>
      <c r="AT73" s="1">
        <f t="shared" si="5"/>
        <v>0</v>
      </c>
      <c r="AU73" s="1">
        <f t="shared" si="2"/>
        <v>0</v>
      </c>
      <c r="AV73" s="1">
        <f t="shared" si="3"/>
        <v>0</v>
      </c>
      <c r="AW73" s="1">
        <f t="shared" si="4"/>
        <v>0</v>
      </c>
    </row>
    <row r="74" spans="1:49" x14ac:dyDescent="0.25">
      <c r="A74" t="s">
        <v>31</v>
      </c>
      <c r="B74" t="s">
        <v>31</v>
      </c>
      <c r="C74">
        <v>60601002</v>
      </c>
      <c r="D74" t="s">
        <v>106</v>
      </c>
      <c r="E74">
        <v>60601005</v>
      </c>
      <c r="F74" t="s">
        <v>34</v>
      </c>
      <c r="G74">
        <v>0</v>
      </c>
      <c r="H74">
        <v>1</v>
      </c>
      <c r="I74">
        <v>60601002</v>
      </c>
      <c r="J74">
        <v>0</v>
      </c>
      <c r="K74">
        <v>0</v>
      </c>
      <c r="L74">
        <v>100.7728043</v>
      </c>
      <c r="M74">
        <v>62.319325674143002</v>
      </c>
      <c r="N74">
        <v>100</v>
      </c>
      <c r="O74">
        <v>13.8</v>
      </c>
      <c r="P74">
        <v>0.85</v>
      </c>
      <c r="Q74">
        <v>1</v>
      </c>
      <c r="R74">
        <v>9.9870000000000001</v>
      </c>
      <c r="S74">
        <v>0.32860422</v>
      </c>
      <c r="T74">
        <v>2.913732</v>
      </c>
      <c r="U74">
        <v>2.7518579999999995</v>
      </c>
      <c r="V74">
        <v>0.22338611999999997</v>
      </c>
      <c r="W74">
        <v>0.30756060000000002</v>
      </c>
      <c r="X74">
        <v>13</v>
      </c>
      <c r="Y74">
        <v>0.2</v>
      </c>
      <c r="Z74">
        <v>0.5</v>
      </c>
      <c r="AA74">
        <v>0</v>
      </c>
      <c r="AB74">
        <v>0.21043619999999999</v>
      </c>
      <c r="AC74">
        <v>0</v>
      </c>
      <c r="AD74">
        <v>0</v>
      </c>
      <c r="AE74">
        <v>0</v>
      </c>
      <c r="AG74">
        <f t="array" ref="AG74:AH74">T1T2(T74,S74,V74,X74,Y74)</f>
        <v>1.4058942540744614</v>
      </c>
      <c r="AH74">
        <v>0.14178401594262138</v>
      </c>
      <c r="AJ74">
        <f t="array" ref="AJ74:AM74">Canay(T74,AB74,S74,V74,AG74,AH74)</f>
        <v>0.31179912816765393</v>
      </c>
      <c r="AK74">
        <v>0.19348381036129766</v>
      </c>
      <c r="AL74">
        <v>0.695042364532511</v>
      </c>
      <c r="AM74">
        <v>1.395045605813305E-2</v>
      </c>
      <c r="AO74" s="1">
        <f t="array" ref="AO74:AR74">Niipt(T74,AB74,S74,V74,X74,Y74)</f>
        <v>0</v>
      </c>
      <c r="AP74" s="1">
        <v>0</v>
      </c>
      <c r="AQ74" s="1">
        <v>0</v>
      </c>
      <c r="AR74" s="1">
        <v>0</v>
      </c>
      <c r="AT74" s="1">
        <f t="shared" si="5"/>
        <v>0</v>
      </c>
      <c r="AU74" s="1">
        <f t="shared" si="2"/>
        <v>0</v>
      </c>
      <c r="AV74" s="1">
        <f t="shared" si="3"/>
        <v>0</v>
      </c>
      <c r="AW74" s="1">
        <f t="shared" si="4"/>
        <v>0</v>
      </c>
    </row>
    <row r="75" spans="1:49" x14ac:dyDescent="0.25">
      <c r="A75" t="s">
        <v>31</v>
      </c>
      <c r="B75" t="s">
        <v>32</v>
      </c>
      <c r="C75">
        <v>60601004</v>
      </c>
      <c r="D75" t="s">
        <v>107</v>
      </c>
      <c r="E75">
        <v>60601007</v>
      </c>
      <c r="F75" t="s">
        <v>34</v>
      </c>
      <c r="G75">
        <v>0</v>
      </c>
      <c r="H75">
        <v>1</v>
      </c>
      <c r="I75">
        <v>60601004</v>
      </c>
      <c r="J75">
        <v>0</v>
      </c>
      <c r="K75">
        <v>0</v>
      </c>
      <c r="L75">
        <v>0</v>
      </c>
      <c r="M75">
        <v>0</v>
      </c>
      <c r="N75">
        <v>125</v>
      </c>
      <c r="O75">
        <v>10.5</v>
      </c>
      <c r="P75">
        <v>0.85</v>
      </c>
      <c r="Q75">
        <v>1</v>
      </c>
      <c r="R75">
        <v>6.3330000000000002</v>
      </c>
      <c r="S75">
        <v>0.21291479999999999</v>
      </c>
      <c r="T75">
        <v>1.6343460000000001</v>
      </c>
      <c r="U75">
        <v>1.4709114000000001</v>
      </c>
      <c r="V75">
        <v>0.1461915</v>
      </c>
      <c r="W75">
        <v>0.1619352</v>
      </c>
      <c r="X75">
        <v>6.76</v>
      </c>
      <c r="Y75">
        <v>0.2</v>
      </c>
      <c r="Z75">
        <v>0.5</v>
      </c>
      <c r="AA75">
        <v>0</v>
      </c>
      <c r="AB75">
        <v>0.14244299999999999</v>
      </c>
      <c r="AC75">
        <v>0</v>
      </c>
      <c r="AD75">
        <v>0</v>
      </c>
      <c r="AE75">
        <v>0</v>
      </c>
      <c r="AG75">
        <f t="array" ref="AG75:AH75">T1T2(T75,S75,V75,X75,Y75)</f>
        <v>0.82021202865560283</v>
      </c>
      <c r="AH75">
        <v>0.14744453335406177</v>
      </c>
      <c r="AJ75">
        <f t="array" ref="AJ75:AM75">Canay(T75,AB75,S75,V75,AG75,AH75)</f>
        <v>0.47378757302726332</v>
      </c>
      <c r="AK75">
        <v>0.18323242611222793</v>
      </c>
      <c r="AL75">
        <v>0.43679207087059396</v>
      </c>
      <c r="AM75">
        <v>3.8366280616794375E-3</v>
      </c>
      <c r="AO75" s="1">
        <f t="array" ref="AO75:AR75">Niipt(T75,AB75,S75,V75,X75,Y75)</f>
        <v>0</v>
      </c>
      <c r="AP75" s="1">
        <v>0</v>
      </c>
      <c r="AQ75" s="1">
        <v>0</v>
      </c>
      <c r="AR75" s="1">
        <v>0</v>
      </c>
      <c r="AT75" s="1">
        <f t="shared" si="5"/>
        <v>0</v>
      </c>
      <c r="AU75" s="1">
        <f t="shared" si="2"/>
        <v>0</v>
      </c>
      <c r="AV75" s="1">
        <f t="shared" si="3"/>
        <v>0</v>
      </c>
      <c r="AW75" s="1">
        <f t="shared" si="4"/>
        <v>0</v>
      </c>
    </row>
    <row r="76" spans="1:49" x14ac:dyDescent="0.25">
      <c r="A76" t="s">
        <v>31</v>
      </c>
      <c r="B76" t="s">
        <v>31</v>
      </c>
      <c r="C76">
        <v>60601003</v>
      </c>
      <c r="D76" t="s">
        <v>108</v>
      </c>
      <c r="E76">
        <v>60601006</v>
      </c>
      <c r="F76" t="s">
        <v>34</v>
      </c>
      <c r="G76">
        <v>0</v>
      </c>
      <c r="H76">
        <v>1</v>
      </c>
      <c r="I76">
        <v>60601003</v>
      </c>
      <c r="J76">
        <v>0</v>
      </c>
      <c r="K76">
        <v>0</v>
      </c>
      <c r="L76">
        <v>100.17467499999998</v>
      </c>
      <c r="M76">
        <v>42.509337212309703</v>
      </c>
      <c r="N76">
        <v>100</v>
      </c>
      <c r="O76">
        <v>13.8</v>
      </c>
      <c r="P76">
        <v>0.85</v>
      </c>
      <c r="Q76">
        <v>1</v>
      </c>
      <c r="R76">
        <v>9.9870000000000001</v>
      </c>
      <c r="S76">
        <v>0.32860422</v>
      </c>
      <c r="T76">
        <v>2.913732</v>
      </c>
      <c r="U76">
        <v>2.7518579999999995</v>
      </c>
      <c r="V76">
        <v>0.22338611999999997</v>
      </c>
      <c r="W76">
        <v>0.30756060000000002</v>
      </c>
      <c r="X76">
        <v>13</v>
      </c>
      <c r="Y76">
        <v>0.2</v>
      </c>
      <c r="Z76">
        <v>0.5</v>
      </c>
      <c r="AA76">
        <v>0</v>
      </c>
      <c r="AB76">
        <v>0.21043619999999999</v>
      </c>
      <c r="AC76">
        <v>0</v>
      </c>
      <c r="AD76">
        <v>0</v>
      </c>
      <c r="AE76">
        <v>0</v>
      </c>
      <c r="AG76">
        <f t="array" ref="AG76:AH76">T1T2(T76,S76,V76,X76,Y76)</f>
        <v>1.4058942540744614</v>
      </c>
      <c r="AH76">
        <v>0.14178401594262138</v>
      </c>
      <c r="AJ76">
        <f t="array" ref="AJ76:AM76">Canay(T76,AB76,S76,V76,AG76,AH76)</f>
        <v>0.31179912816765393</v>
      </c>
      <c r="AK76">
        <v>0.19348381036129766</v>
      </c>
      <c r="AL76">
        <v>0.695042364532511</v>
      </c>
      <c r="AM76">
        <v>1.395045605813305E-2</v>
      </c>
      <c r="AO76" s="1">
        <f t="array" ref="AO76:AR76">Niipt(T76,AB76,S76,V76,X76,Y76)</f>
        <v>0</v>
      </c>
      <c r="AP76" s="1">
        <v>0</v>
      </c>
      <c r="AQ76" s="1">
        <v>0</v>
      </c>
      <c r="AR76" s="1">
        <v>0</v>
      </c>
      <c r="AT76" s="1">
        <f t="shared" si="5"/>
        <v>0</v>
      </c>
      <c r="AU76" s="1">
        <f t="shared" si="2"/>
        <v>0</v>
      </c>
      <c r="AV76" s="1">
        <f t="shared" si="3"/>
        <v>0</v>
      </c>
      <c r="AW76" s="1">
        <f t="shared" si="4"/>
        <v>0</v>
      </c>
    </row>
    <row r="77" spans="1:49" x14ac:dyDescent="0.25">
      <c r="A77" t="s">
        <v>31</v>
      </c>
      <c r="B77" t="s">
        <v>32</v>
      </c>
      <c r="C77">
        <v>60601001</v>
      </c>
      <c r="D77" t="s">
        <v>109</v>
      </c>
      <c r="E77">
        <v>60601004</v>
      </c>
      <c r="F77" t="s">
        <v>34</v>
      </c>
      <c r="G77">
        <v>0</v>
      </c>
      <c r="H77">
        <v>1</v>
      </c>
      <c r="I77">
        <v>60601001</v>
      </c>
      <c r="J77">
        <v>0</v>
      </c>
      <c r="K77">
        <v>0</v>
      </c>
      <c r="L77">
        <v>0</v>
      </c>
      <c r="M77">
        <v>0</v>
      </c>
      <c r="N77">
        <v>100</v>
      </c>
      <c r="O77">
        <v>13.8</v>
      </c>
      <c r="P77">
        <v>0.85</v>
      </c>
      <c r="Q77">
        <v>1</v>
      </c>
      <c r="R77">
        <v>9.9870000000000001</v>
      </c>
      <c r="S77">
        <v>0.32860422</v>
      </c>
      <c r="T77">
        <v>2.913732</v>
      </c>
      <c r="U77">
        <v>2.7518579999999995</v>
      </c>
      <c r="V77">
        <v>0.22338611999999997</v>
      </c>
      <c r="W77">
        <v>0.30756060000000002</v>
      </c>
      <c r="X77">
        <v>13</v>
      </c>
      <c r="Y77">
        <v>0.2</v>
      </c>
      <c r="Z77">
        <v>0.5</v>
      </c>
      <c r="AA77">
        <v>0</v>
      </c>
      <c r="AB77">
        <v>0.21043619999999999</v>
      </c>
      <c r="AC77">
        <v>0</v>
      </c>
      <c r="AD77">
        <v>0</v>
      </c>
      <c r="AE77">
        <v>0</v>
      </c>
      <c r="AG77">
        <f t="array" ref="AG77:AH77">T1T2(T77,S77,V77,X77,Y77)</f>
        <v>1.4058942540744614</v>
      </c>
      <c r="AH77">
        <v>0.14178401594262138</v>
      </c>
      <c r="AJ77">
        <f t="array" ref="AJ77:AM77">Canay(T77,AB77,S77,V77,AG77,AH77)</f>
        <v>0.31179912816765393</v>
      </c>
      <c r="AK77">
        <v>0.19348381036129766</v>
      </c>
      <c r="AL77">
        <v>0.695042364532511</v>
      </c>
      <c r="AM77">
        <v>1.395045605813305E-2</v>
      </c>
      <c r="AO77" s="1">
        <f t="array" ref="AO77:AR77">Niipt(T77,AB77,S77,V77,X77,Y77)</f>
        <v>0</v>
      </c>
      <c r="AP77" s="1">
        <v>0</v>
      </c>
      <c r="AQ77" s="1">
        <v>0</v>
      </c>
      <c r="AR77" s="1">
        <v>0</v>
      </c>
      <c r="AT77" s="1">
        <f t="shared" si="5"/>
        <v>0</v>
      </c>
      <c r="AU77" s="1">
        <f t="shared" si="2"/>
        <v>0</v>
      </c>
      <c r="AV77" s="1">
        <f t="shared" si="3"/>
        <v>0</v>
      </c>
      <c r="AW77" s="1">
        <f t="shared" si="4"/>
        <v>0</v>
      </c>
    </row>
    <row r="78" spans="1:49" x14ac:dyDescent="0.25">
      <c r="A78" t="s">
        <v>31</v>
      </c>
      <c r="B78" t="s">
        <v>32</v>
      </c>
      <c r="C78">
        <v>60601006</v>
      </c>
      <c r="D78" t="s">
        <v>110</v>
      </c>
      <c r="E78">
        <v>60601009</v>
      </c>
      <c r="F78" t="s">
        <v>34</v>
      </c>
      <c r="G78">
        <v>0</v>
      </c>
      <c r="H78">
        <v>1</v>
      </c>
      <c r="I78">
        <v>60601006</v>
      </c>
      <c r="J78">
        <v>0</v>
      </c>
      <c r="K78">
        <v>0</v>
      </c>
      <c r="L78">
        <v>0</v>
      </c>
      <c r="M78">
        <v>0</v>
      </c>
      <c r="N78">
        <v>200</v>
      </c>
      <c r="O78">
        <v>15.75</v>
      </c>
      <c r="P78">
        <v>0.85</v>
      </c>
      <c r="Q78">
        <v>1</v>
      </c>
      <c r="R78">
        <v>7.1269999999999998</v>
      </c>
      <c r="S78">
        <v>0.30573703124999996</v>
      </c>
      <c r="T78">
        <v>2.0769032812499999</v>
      </c>
      <c r="U78">
        <v>1.9820193749999997</v>
      </c>
      <c r="V78">
        <v>0.210853125</v>
      </c>
      <c r="W78">
        <v>0.29519437500000001</v>
      </c>
      <c r="X78">
        <v>7.03</v>
      </c>
      <c r="Y78">
        <v>0.2</v>
      </c>
      <c r="Z78">
        <v>0.5</v>
      </c>
      <c r="AA78">
        <v>0</v>
      </c>
      <c r="AB78">
        <v>0.20031046875</v>
      </c>
      <c r="AC78">
        <v>0</v>
      </c>
      <c r="AD78">
        <v>0</v>
      </c>
      <c r="AE78">
        <v>0</v>
      </c>
      <c r="AG78">
        <f t="array" ref="AG78:AH78">T1T2(T78,S78,V78,X78,Y78)</f>
        <v>0.97706780307046071</v>
      </c>
      <c r="AH78">
        <v>0.14609131147572499</v>
      </c>
      <c r="AJ78">
        <f t="array" ref="AJ78:AM78">Canay(T78,AB78,S78,V78,AG78,AH78)</f>
        <v>0.49059035484782765</v>
      </c>
      <c r="AK78">
        <v>0.22268052970059776</v>
      </c>
      <c r="AL78">
        <v>0.63970639883847136</v>
      </c>
      <c r="AM78">
        <v>1.1132245445141643E-2</v>
      </c>
      <c r="AO78" s="1">
        <f t="array" ref="AO78:AR78">Niipt(T78,AB78,S78,V78,X78,Y78)</f>
        <v>0</v>
      </c>
      <c r="AP78" s="1">
        <v>0</v>
      </c>
      <c r="AQ78" s="1">
        <v>0</v>
      </c>
      <c r="AR78" s="1">
        <v>0</v>
      </c>
      <c r="AT78" s="1">
        <f t="shared" si="5"/>
        <v>0</v>
      </c>
      <c r="AU78" s="1">
        <f t="shared" si="2"/>
        <v>0</v>
      </c>
      <c r="AV78" s="1">
        <f t="shared" si="3"/>
        <v>0</v>
      </c>
      <c r="AW78" s="1">
        <f t="shared" si="4"/>
        <v>0</v>
      </c>
    </row>
    <row r="79" spans="1:49" x14ac:dyDescent="0.25">
      <c r="A79" t="s">
        <v>31</v>
      </c>
      <c r="B79" t="s">
        <v>31</v>
      </c>
      <c r="C79">
        <v>60601007</v>
      </c>
      <c r="D79" t="s">
        <v>111</v>
      </c>
      <c r="E79">
        <v>60601010</v>
      </c>
      <c r="F79" t="s">
        <v>34</v>
      </c>
      <c r="G79">
        <v>0</v>
      </c>
      <c r="H79">
        <v>1</v>
      </c>
      <c r="I79">
        <v>60601007</v>
      </c>
      <c r="J79">
        <v>0</v>
      </c>
      <c r="K79">
        <v>0</v>
      </c>
      <c r="L79">
        <v>200.74034119999999</v>
      </c>
      <c r="M79">
        <v>109.28142325528599</v>
      </c>
      <c r="N79">
        <v>200</v>
      </c>
      <c r="O79">
        <v>15.75</v>
      </c>
      <c r="P79">
        <v>0.85</v>
      </c>
      <c r="Q79">
        <v>1</v>
      </c>
      <c r="R79">
        <v>7.1269999999999998</v>
      </c>
      <c r="S79">
        <v>0.30573703124999996</v>
      </c>
      <c r="T79">
        <v>2.0769032812499999</v>
      </c>
      <c r="U79">
        <v>1.9820193749999997</v>
      </c>
      <c r="V79">
        <v>0.210853125</v>
      </c>
      <c r="W79">
        <v>0.29519437500000001</v>
      </c>
      <c r="X79">
        <v>7.03</v>
      </c>
      <c r="Y79">
        <v>0.2</v>
      </c>
      <c r="Z79">
        <v>0.5</v>
      </c>
      <c r="AA79">
        <v>0</v>
      </c>
      <c r="AB79">
        <v>0.20031046875</v>
      </c>
      <c r="AC79">
        <v>0</v>
      </c>
      <c r="AD79">
        <v>0</v>
      </c>
      <c r="AE79">
        <v>0</v>
      </c>
      <c r="AG79">
        <f t="array" ref="AG79:AH79">T1T2(T79,S79,V79,X79,Y79)</f>
        <v>0.97706780307046071</v>
      </c>
      <c r="AH79">
        <v>0.14609131147572499</v>
      </c>
      <c r="AJ79">
        <f t="array" ref="AJ79:AM79">Canay(T79,AB79,S79,V79,AG79,AH79)</f>
        <v>0.49059035484782765</v>
      </c>
      <c r="AK79">
        <v>0.22268052970059776</v>
      </c>
      <c r="AL79">
        <v>0.63970639883847136</v>
      </c>
      <c r="AM79">
        <v>1.1132245445141643E-2</v>
      </c>
      <c r="AO79" s="1">
        <f t="array" ref="AO79:AR79">Niipt(T79,AB79,S79,V79,X79,Y79)</f>
        <v>0</v>
      </c>
      <c r="AP79" s="1">
        <v>0</v>
      </c>
      <c r="AQ79" s="1">
        <v>0</v>
      </c>
      <c r="AR79" s="1">
        <v>0</v>
      </c>
      <c r="AT79" s="1">
        <f t="shared" si="5"/>
        <v>0</v>
      </c>
      <c r="AU79" s="1">
        <f t="shared" si="2"/>
        <v>0</v>
      </c>
      <c r="AV79" s="1">
        <f t="shared" si="3"/>
        <v>0</v>
      </c>
      <c r="AW79" s="1">
        <f t="shared" si="4"/>
        <v>0</v>
      </c>
    </row>
    <row r="80" spans="1:49" x14ac:dyDescent="0.25">
      <c r="A80" t="s">
        <v>31</v>
      </c>
      <c r="B80" t="s">
        <v>31</v>
      </c>
      <c r="C80">
        <v>60601008</v>
      </c>
      <c r="D80" t="s">
        <v>112</v>
      </c>
      <c r="E80">
        <v>60601011</v>
      </c>
      <c r="F80" t="s">
        <v>34</v>
      </c>
      <c r="G80">
        <v>0</v>
      </c>
      <c r="H80">
        <v>1</v>
      </c>
      <c r="I80">
        <v>60601008</v>
      </c>
      <c r="J80">
        <v>0</v>
      </c>
      <c r="K80">
        <v>0</v>
      </c>
      <c r="L80">
        <v>199.02822879999997</v>
      </c>
      <c r="M80">
        <v>114.43214945682401</v>
      </c>
      <c r="N80">
        <v>200</v>
      </c>
      <c r="O80">
        <v>15.75</v>
      </c>
      <c r="P80">
        <v>0.85</v>
      </c>
      <c r="Q80">
        <v>1</v>
      </c>
      <c r="R80">
        <v>7.1269999999999998</v>
      </c>
      <c r="S80">
        <v>0.30573703124999996</v>
      </c>
      <c r="T80">
        <v>2.0769032812499999</v>
      </c>
      <c r="U80">
        <v>1.9820193749999997</v>
      </c>
      <c r="V80">
        <v>0.210853125</v>
      </c>
      <c r="W80">
        <v>0.29519437500000001</v>
      </c>
      <c r="X80">
        <v>7.03</v>
      </c>
      <c r="Y80">
        <v>0.2</v>
      </c>
      <c r="Z80">
        <v>0.5</v>
      </c>
      <c r="AA80">
        <v>0</v>
      </c>
      <c r="AB80">
        <v>0.20031046875</v>
      </c>
      <c r="AC80">
        <v>0</v>
      </c>
      <c r="AD80">
        <v>0</v>
      </c>
      <c r="AE80">
        <v>0</v>
      </c>
      <c r="AG80">
        <f t="array" ref="AG80:AH80">T1T2(T80,S80,V80,X80,Y80)</f>
        <v>0.97706780307046071</v>
      </c>
      <c r="AH80">
        <v>0.14609131147572499</v>
      </c>
      <c r="AJ80">
        <f t="array" ref="AJ80:AM80">Canay(T80,AB80,S80,V80,AG80,AH80)</f>
        <v>0.49059035484782765</v>
      </c>
      <c r="AK80">
        <v>0.22268052970059776</v>
      </c>
      <c r="AL80">
        <v>0.63970639883847136</v>
      </c>
      <c r="AM80">
        <v>1.1132245445141643E-2</v>
      </c>
      <c r="AO80" s="1">
        <f t="array" ref="AO80:AR80">Niipt(T80,AB80,S80,V80,X80,Y80)</f>
        <v>0</v>
      </c>
      <c r="AP80" s="1">
        <v>0</v>
      </c>
      <c r="AQ80" s="1">
        <v>0</v>
      </c>
      <c r="AR80" s="1">
        <v>0</v>
      </c>
      <c r="AT80" s="1">
        <f t="shared" si="5"/>
        <v>0</v>
      </c>
      <c r="AU80" s="1">
        <f t="shared" si="2"/>
        <v>0</v>
      </c>
      <c r="AV80" s="1">
        <f t="shared" si="3"/>
        <v>0</v>
      </c>
      <c r="AW80" s="1">
        <f t="shared" si="4"/>
        <v>0</v>
      </c>
    </row>
    <row r="81" spans="1:49" x14ac:dyDescent="0.25">
      <c r="A81" t="s">
        <v>31</v>
      </c>
      <c r="B81" t="s">
        <v>31</v>
      </c>
      <c r="C81">
        <v>60601009</v>
      </c>
      <c r="D81" t="s">
        <v>113</v>
      </c>
      <c r="E81">
        <v>60601012</v>
      </c>
      <c r="F81" t="s">
        <v>34</v>
      </c>
      <c r="G81">
        <v>0</v>
      </c>
      <c r="H81">
        <v>1</v>
      </c>
      <c r="I81">
        <v>60601009</v>
      </c>
      <c r="J81">
        <v>0</v>
      </c>
      <c r="K81">
        <v>0</v>
      </c>
      <c r="L81">
        <v>198.57806399999998</v>
      </c>
      <c r="M81">
        <v>118.72273684745899</v>
      </c>
      <c r="N81">
        <v>200</v>
      </c>
      <c r="O81">
        <v>15.75</v>
      </c>
      <c r="P81">
        <v>0.85</v>
      </c>
      <c r="Q81">
        <v>1</v>
      </c>
      <c r="R81">
        <v>7.1269999999999998</v>
      </c>
      <c r="S81">
        <v>0.30573703124999996</v>
      </c>
      <c r="T81">
        <v>2.0769032812499999</v>
      </c>
      <c r="U81">
        <v>1.9820193749999997</v>
      </c>
      <c r="V81">
        <v>0.210853125</v>
      </c>
      <c r="W81">
        <v>0.29519437500000001</v>
      </c>
      <c r="X81">
        <v>7.03</v>
      </c>
      <c r="Y81">
        <v>0.2</v>
      </c>
      <c r="Z81">
        <v>0.5</v>
      </c>
      <c r="AA81">
        <v>0</v>
      </c>
      <c r="AB81">
        <v>0.20031046875</v>
      </c>
      <c r="AC81">
        <v>0</v>
      </c>
      <c r="AD81">
        <v>0</v>
      </c>
      <c r="AE81">
        <v>0</v>
      </c>
      <c r="AG81">
        <f t="array" ref="AG81:AH81">T1T2(T81,S81,V81,X81,Y81)</f>
        <v>0.97706780307046071</v>
      </c>
      <c r="AH81">
        <v>0.14609131147572499</v>
      </c>
      <c r="AJ81">
        <f t="array" ref="AJ81:AM81">Canay(T81,AB81,S81,V81,AG81,AH81)</f>
        <v>0.49059035484782765</v>
      </c>
      <c r="AK81">
        <v>0.22268052970059776</v>
      </c>
      <c r="AL81">
        <v>0.63970639883847136</v>
      </c>
      <c r="AM81">
        <v>1.1132245445141643E-2</v>
      </c>
      <c r="AO81" s="1">
        <f t="array" ref="AO81:AR81">Niipt(T81,AB81,S81,V81,X81,Y81)</f>
        <v>0</v>
      </c>
      <c r="AP81" s="1">
        <v>0</v>
      </c>
      <c r="AQ81" s="1">
        <v>0</v>
      </c>
      <c r="AR81" s="1">
        <v>0</v>
      </c>
      <c r="AT81" s="1">
        <f t="shared" si="5"/>
        <v>0</v>
      </c>
      <c r="AU81" s="1">
        <f t="shared" si="2"/>
        <v>0</v>
      </c>
      <c r="AV81" s="1">
        <f t="shared" si="3"/>
        <v>0</v>
      </c>
      <c r="AW81" s="1">
        <f t="shared" si="4"/>
        <v>0</v>
      </c>
    </row>
    <row r="82" spans="1:49" x14ac:dyDescent="0.25">
      <c r="A82" t="s">
        <v>31</v>
      </c>
      <c r="B82" t="s">
        <v>31</v>
      </c>
      <c r="C82">
        <v>60605037</v>
      </c>
      <c r="D82" t="s">
        <v>114</v>
      </c>
      <c r="E82">
        <v>60605012</v>
      </c>
      <c r="F82" t="s">
        <v>34</v>
      </c>
      <c r="G82">
        <v>0</v>
      </c>
      <c r="H82">
        <v>1</v>
      </c>
      <c r="I82">
        <v>60605037</v>
      </c>
      <c r="J82">
        <v>0</v>
      </c>
      <c r="K82">
        <v>0</v>
      </c>
      <c r="L82">
        <v>86.68171692</v>
      </c>
      <c r="M82">
        <v>27.217929804603799</v>
      </c>
      <c r="N82">
        <v>160</v>
      </c>
      <c r="O82">
        <v>18</v>
      </c>
      <c r="P82">
        <v>0.85</v>
      </c>
      <c r="Q82">
        <v>1</v>
      </c>
      <c r="R82">
        <v>5.0270624999999995</v>
      </c>
      <c r="S82">
        <v>0.67115999999999998</v>
      </c>
      <c r="T82">
        <v>4.895999999999999</v>
      </c>
      <c r="U82">
        <v>4.6920000000000002</v>
      </c>
      <c r="V82">
        <v>0.45084000000000002</v>
      </c>
      <c r="W82">
        <v>0.63239999999999985</v>
      </c>
      <c r="X82">
        <v>5.7</v>
      </c>
      <c r="Y82">
        <v>0.2</v>
      </c>
      <c r="Z82">
        <v>0.5</v>
      </c>
      <c r="AA82">
        <v>0</v>
      </c>
      <c r="AB82">
        <v>0.16319999999999998</v>
      </c>
      <c r="AC82">
        <v>0</v>
      </c>
      <c r="AD82">
        <v>0</v>
      </c>
      <c r="AE82">
        <v>0</v>
      </c>
      <c r="AG82">
        <f t="array" ref="AG82:AH82">T1T2(T82,S82,V82,X82,Y82)</f>
        <v>0.7171987538770751</v>
      </c>
      <c r="AH82">
        <v>0.14636807360933071</v>
      </c>
      <c r="AJ82">
        <f t="array" ref="AJ82:AM82">Canay(T82,AB82,S82,V82,AG82,AH82)</f>
        <v>1.1177097948180148</v>
      </c>
      <c r="AK82">
        <v>0.63474100914970255</v>
      </c>
      <c r="AL82">
        <v>4.8505199844268123</v>
      </c>
      <c r="AM82">
        <v>0.59177522082340617</v>
      </c>
      <c r="AO82" s="1">
        <f t="array" ref="AO82:AR82">Niipt(T82,AB82,S82,V82,X82,Y82)</f>
        <v>1.1028466718794869</v>
      </c>
      <c r="AP82" s="1">
        <v>0.5690329309512312</v>
      </c>
      <c r="AQ82" s="1">
        <v>4.9386830596579108</v>
      </c>
      <c r="AR82" s="1">
        <v>0.66317000000000004</v>
      </c>
      <c r="AT82" s="1">
        <f t="shared" si="5"/>
        <v>1.3297837244906565</v>
      </c>
      <c r="AU82" s="1">
        <f t="shared" ref="AU82:AU145" si="6">IF(AP82&gt;0,(AK82-AP82)/AK82*100,0)</f>
        <v>10.351950992814176</v>
      </c>
      <c r="AV82" s="1">
        <f t="shared" ref="AV82:AV145" si="7">IF(AQ82&gt;0,(AL82-AQ82)/AL82*100,0)</f>
        <v>-1.8176004946718454</v>
      </c>
      <c r="AW82" s="1">
        <f t="shared" ref="AW82:AW145" si="8">IF(AR82&gt;0,(AM82-AR82)/AM82*100,0)</f>
        <v>-12.064509743624269</v>
      </c>
    </row>
    <row r="83" spans="1:49" x14ac:dyDescent="0.25">
      <c r="A83" t="s">
        <v>31</v>
      </c>
      <c r="B83" t="s">
        <v>31</v>
      </c>
      <c r="C83">
        <v>60605038</v>
      </c>
      <c r="D83" t="s">
        <v>115</v>
      </c>
      <c r="E83">
        <v>60605013</v>
      </c>
      <c r="F83" t="s">
        <v>34</v>
      </c>
      <c r="G83">
        <v>0</v>
      </c>
      <c r="H83">
        <v>1</v>
      </c>
      <c r="I83">
        <v>60605038</v>
      </c>
      <c r="J83">
        <v>0</v>
      </c>
      <c r="K83">
        <v>0</v>
      </c>
      <c r="L83">
        <v>99.685699459999981</v>
      </c>
      <c r="M83">
        <v>23.202677653837299</v>
      </c>
      <c r="N83">
        <v>115</v>
      </c>
      <c r="O83">
        <v>10.5</v>
      </c>
      <c r="P83">
        <v>0.85</v>
      </c>
      <c r="Q83">
        <v>1</v>
      </c>
      <c r="R83">
        <v>6.3689999999999998</v>
      </c>
      <c r="S83">
        <v>0.21268663043478298</v>
      </c>
      <c r="T83">
        <v>1.6314123913043499</v>
      </c>
      <c r="U83">
        <v>1.6314123913043499</v>
      </c>
      <c r="V83">
        <v>0.14586554347826097</v>
      </c>
      <c r="W83">
        <v>0.14586554347826097</v>
      </c>
      <c r="X83">
        <v>6.7</v>
      </c>
      <c r="Y83">
        <v>0.2</v>
      </c>
      <c r="Z83">
        <v>0.5</v>
      </c>
      <c r="AA83">
        <v>0</v>
      </c>
      <c r="AB83">
        <v>0.145050652173913</v>
      </c>
      <c r="AC83">
        <v>0</v>
      </c>
      <c r="AD83">
        <v>0</v>
      </c>
      <c r="AE83">
        <v>0</v>
      </c>
      <c r="AG83">
        <f t="array" ref="AG83:AH83">T1T2(T83,S83,V83,X83,Y83)</f>
        <v>0.81280831937738263</v>
      </c>
      <c r="AH83">
        <v>0.14740276022514784</v>
      </c>
      <c r="AJ83">
        <f t="array" ref="AJ83:AM83">Canay(T83,AB83,S83,V83,AG83,AH83)</f>
        <v>0.49585461316054241</v>
      </c>
      <c r="AK83">
        <v>0.18774061922398705</v>
      </c>
      <c r="AL83">
        <v>0.42203840824005207</v>
      </c>
      <c r="AM83">
        <v>8.188946858769E-4</v>
      </c>
      <c r="AO83" s="1">
        <f t="array" ref="AO83:AR83">Niipt(T83,AB83,S83,V83,X83,Y83)</f>
        <v>0</v>
      </c>
      <c r="AP83" s="1">
        <v>0</v>
      </c>
      <c r="AQ83" s="1">
        <v>0</v>
      </c>
      <c r="AR83" s="1">
        <v>0</v>
      </c>
      <c r="AT83" s="1">
        <f t="shared" si="5"/>
        <v>0</v>
      </c>
      <c r="AU83" s="1">
        <f t="shared" si="6"/>
        <v>0</v>
      </c>
      <c r="AV83" s="1">
        <f t="shared" si="7"/>
        <v>0</v>
      </c>
      <c r="AW83" s="1">
        <f t="shared" si="8"/>
        <v>0</v>
      </c>
    </row>
    <row r="84" spans="1:49" x14ac:dyDescent="0.25">
      <c r="A84" t="s">
        <v>31</v>
      </c>
      <c r="B84" t="s">
        <v>32</v>
      </c>
      <c r="C84">
        <v>60605033</v>
      </c>
      <c r="D84" t="s">
        <v>116</v>
      </c>
      <c r="E84">
        <v>60605008</v>
      </c>
      <c r="F84" t="s">
        <v>34</v>
      </c>
      <c r="G84">
        <v>0</v>
      </c>
      <c r="H84">
        <v>1</v>
      </c>
      <c r="I84">
        <v>60605033</v>
      </c>
      <c r="J84">
        <v>0</v>
      </c>
      <c r="K84">
        <v>0</v>
      </c>
      <c r="L84">
        <v>0</v>
      </c>
      <c r="M84">
        <v>0</v>
      </c>
      <c r="N84">
        <v>60</v>
      </c>
      <c r="O84">
        <v>10.5</v>
      </c>
      <c r="P84">
        <v>0.8</v>
      </c>
      <c r="Q84">
        <v>1</v>
      </c>
      <c r="R84">
        <v>3.95583333333333</v>
      </c>
      <c r="S84">
        <v>0.13970879999999997</v>
      </c>
      <c r="T84">
        <v>1.0541663999999997</v>
      </c>
      <c r="U84">
        <v>0.94620959999999987</v>
      </c>
      <c r="V84">
        <v>9.2715839999999994E-2</v>
      </c>
      <c r="W84">
        <v>0.10224144</v>
      </c>
      <c r="X84">
        <v>6</v>
      </c>
      <c r="Y84">
        <v>0.2</v>
      </c>
      <c r="Z84">
        <v>0.5</v>
      </c>
      <c r="AA84">
        <v>0</v>
      </c>
      <c r="AB84">
        <v>7.8744960000000003E-2</v>
      </c>
      <c r="AC84">
        <v>0</v>
      </c>
      <c r="AD84">
        <v>0</v>
      </c>
      <c r="AE84">
        <v>0</v>
      </c>
      <c r="AG84">
        <f t="array" ref="AG84:AH84">T1T2(T84,S84,V84,X84,Y84)</f>
        <v>0.72913692559629895</v>
      </c>
      <c r="AH84">
        <v>0.14474944961590697</v>
      </c>
      <c r="AJ84">
        <f t="array" ref="AJ84:AM84">Canay(T84,AB84,S84,V84,AG84,AH84)</f>
        <v>0.31037982872711117</v>
      </c>
      <c r="AK84">
        <v>0.12448040482824266</v>
      </c>
      <c r="AL84">
        <v>0.37323617438255585</v>
      </c>
      <c r="AM84">
        <v>1.5995172850122492E-2</v>
      </c>
      <c r="AO84" s="1">
        <f t="array" ref="AO84:AR84">Niipt(T84,AB84,S84,V84,X84,Y84)</f>
        <v>0</v>
      </c>
      <c r="AP84" s="1">
        <v>0</v>
      </c>
      <c r="AQ84" s="1">
        <v>0</v>
      </c>
      <c r="AR84" s="1">
        <v>0</v>
      </c>
      <c r="AT84" s="1">
        <f t="shared" si="5"/>
        <v>0</v>
      </c>
      <c r="AU84" s="1">
        <f t="shared" si="6"/>
        <v>0</v>
      </c>
      <c r="AV84" s="1">
        <f t="shared" si="7"/>
        <v>0</v>
      </c>
      <c r="AW84" s="1">
        <f t="shared" si="8"/>
        <v>0</v>
      </c>
    </row>
    <row r="85" spans="1:49" x14ac:dyDescent="0.25">
      <c r="A85" t="s">
        <v>31</v>
      </c>
      <c r="B85" t="s">
        <v>31</v>
      </c>
      <c r="C85">
        <v>60605031</v>
      </c>
      <c r="D85" t="s">
        <v>117</v>
      </c>
      <c r="E85">
        <v>60605014</v>
      </c>
      <c r="F85" t="s">
        <v>34</v>
      </c>
      <c r="G85">
        <v>0</v>
      </c>
      <c r="H85">
        <v>1</v>
      </c>
      <c r="I85">
        <v>60605031</v>
      </c>
      <c r="J85">
        <v>0</v>
      </c>
      <c r="K85">
        <v>0</v>
      </c>
      <c r="L85">
        <v>35.05403136999999</v>
      </c>
      <c r="M85">
        <v>8.9360025178903193</v>
      </c>
      <c r="N85">
        <v>63</v>
      </c>
      <c r="O85">
        <v>6.3</v>
      </c>
      <c r="P85">
        <v>0.8</v>
      </c>
      <c r="Q85">
        <v>1</v>
      </c>
      <c r="R85">
        <v>3.8087301587301599</v>
      </c>
      <c r="S85">
        <v>0.18225648</v>
      </c>
      <c r="T85">
        <v>1.3265985600000001</v>
      </c>
      <c r="U85">
        <v>1.1938751999999997</v>
      </c>
      <c r="V85">
        <v>0.12192768</v>
      </c>
      <c r="W85">
        <v>0.13399343999999996</v>
      </c>
      <c r="X85">
        <v>6.04</v>
      </c>
      <c r="Y85">
        <v>0.2</v>
      </c>
      <c r="Z85">
        <v>0.5</v>
      </c>
      <c r="AA85">
        <v>0</v>
      </c>
      <c r="AB85">
        <v>0.12129263999999998</v>
      </c>
      <c r="AC85">
        <v>0</v>
      </c>
      <c r="AD85">
        <v>0</v>
      </c>
      <c r="AE85">
        <v>0</v>
      </c>
      <c r="AG85">
        <f t="array" ref="AG85:AH85">T1T2(T85,S85,V85,X85,Y85)</f>
        <v>0.76561379285913633</v>
      </c>
      <c r="AH85">
        <v>0.14501735315928246</v>
      </c>
      <c r="AJ85">
        <f t="array" ref="AJ85:AM85">Canay(T85,AB85,S85,V85,AG85,AH85)</f>
        <v>0.45698168988364229</v>
      </c>
      <c r="AK85">
        <v>0.17027901651920677</v>
      </c>
      <c r="AL85">
        <v>0.37337489426701764</v>
      </c>
      <c r="AM85">
        <v>6.3775446080508932E-4</v>
      </c>
      <c r="AO85" s="1">
        <f t="array" ref="AO85:AR85">Niipt(T85,AB85,S85,V85,X85,Y85)</f>
        <v>0</v>
      </c>
      <c r="AP85" s="1">
        <v>0</v>
      </c>
      <c r="AQ85" s="1">
        <v>0</v>
      </c>
      <c r="AR85" s="1">
        <v>0</v>
      </c>
      <c r="AT85" s="1">
        <f t="shared" si="5"/>
        <v>0</v>
      </c>
      <c r="AU85" s="1">
        <f t="shared" si="6"/>
        <v>0</v>
      </c>
      <c r="AV85" s="1">
        <f t="shared" si="7"/>
        <v>0</v>
      </c>
      <c r="AW85" s="1">
        <f t="shared" si="8"/>
        <v>0</v>
      </c>
    </row>
    <row r="86" spans="1:49" x14ac:dyDescent="0.25">
      <c r="A86" t="s">
        <v>31</v>
      </c>
      <c r="B86" t="s">
        <v>31</v>
      </c>
      <c r="C86">
        <v>60605034</v>
      </c>
      <c r="D86" t="s">
        <v>118</v>
      </c>
      <c r="E86">
        <v>60605009</v>
      </c>
      <c r="F86" t="s">
        <v>34</v>
      </c>
      <c r="G86">
        <v>0</v>
      </c>
      <c r="H86">
        <v>1</v>
      </c>
      <c r="I86">
        <v>60605034</v>
      </c>
      <c r="J86">
        <v>0</v>
      </c>
      <c r="K86">
        <v>0</v>
      </c>
      <c r="L86">
        <v>44.634696959999992</v>
      </c>
      <c r="M86">
        <v>1.4065238626963399</v>
      </c>
      <c r="N86">
        <v>63</v>
      </c>
      <c r="O86">
        <v>6.3</v>
      </c>
      <c r="P86">
        <v>0.8</v>
      </c>
      <c r="Q86">
        <v>1</v>
      </c>
      <c r="R86">
        <v>6.5857142857142899</v>
      </c>
      <c r="S86">
        <v>0.17463599999999999</v>
      </c>
      <c r="T86">
        <v>1.2161016</v>
      </c>
      <c r="U86">
        <v>1.09417392</v>
      </c>
      <c r="V86">
        <v>0.1143072</v>
      </c>
      <c r="W86">
        <v>0.12573792</v>
      </c>
      <c r="X86">
        <v>6.09</v>
      </c>
      <c r="Y86">
        <v>0.2</v>
      </c>
      <c r="Z86">
        <v>0.5</v>
      </c>
      <c r="AA86">
        <v>0</v>
      </c>
      <c r="AB86">
        <v>0.11303712</v>
      </c>
      <c r="AC86">
        <v>0</v>
      </c>
      <c r="AD86">
        <v>0</v>
      </c>
      <c r="AE86">
        <v>0</v>
      </c>
      <c r="AG86">
        <f t="array" ref="AG86:AH86">T1T2(T86,S86,V86,X86,Y86)</f>
        <v>0.80815374412649732</v>
      </c>
      <c r="AH86">
        <v>0.14166319282530482</v>
      </c>
      <c r="AJ86">
        <f t="array" ref="AJ86:AM86">Canay(T86,AB86,S86,V86,AG86,AH86)</f>
        <v>0.38514564984016586</v>
      </c>
      <c r="AK86">
        <v>0.15369798333480122</v>
      </c>
      <c r="AL86">
        <v>0.36484213456622328</v>
      </c>
      <c r="AM86">
        <v>1.2821513124195332E-3</v>
      </c>
      <c r="AO86" s="1">
        <f t="array" ref="AO86:AR86">Niipt(T86,AB86,S86,V86,X86,Y86)</f>
        <v>0</v>
      </c>
      <c r="AP86" s="1">
        <v>0</v>
      </c>
      <c r="AQ86" s="1">
        <v>0</v>
      </c>
      <c r="AR86" s="1">
        <v>0</v>
      </c>
      <c r="AT86" s="1">
        <f t="shared" si="5"/>
        <v>0</v>
      </c>
      <c r="AU86" s="1">
        <f t="shared" si="6"/>
        <v>0</v>
      </c>
      <c r="AV86" s="1">
        <f t="shared" si="7"/>
        <v>0</v>
      </c>
      <c r="AW86" s="1">
        <f t="shared" si="8"/>
        <v>0</v>
      </c>
    </row>
    <row r="87" spans="1:49" x14ac:dyDescent="0.25">
      <c r="A87" t="s">
        <v>31</v>
      </c>
      <c r="B87" t="s">
        <v>31</v>
      </c>
      <c r="C87">
        <v>60605032</v>
      </c>
      <c r="D87" t="s">
        <v>119</v>
      </c>
      <c r="E87">
        <v>60605015</v>
      </c>
      <c r="F87" t="s">
        <v>34</v>
      </c>
      <c r="G87">
        <v>0</v>
      </c>
      <c r="H87">
        <v>1</v>
      </c>
      <c r="I87">
        <v>60605032</v>
      </c>
      <c r="J87">
        <v>0</v>
      </c>
      <c r="K87">
        <v>0</v>
      </c>
      <c r="L87">
        <v>16.675682070000001</v>
      </c>
      <c r="M87">
        <v>12.351973013677201</v>
      </c>
      <c r="N87">
        <v>60</v>
      </c>
      <c r="O87">
        <v>6.3</v>
      </c>
      <c r="P87">
        <v>0.8</v>
      </c>
      <c r="Q87">
        <v>1</v>
      </c>
      <c r="R87">
        <v>3.95583333333333</v>
      </c>
      <c r="S87">
        <v>0.13970879999999997</v>
      </c>
      <c r="T87">
        <v>1.0541663999999997</v>
      </c>
      <c r="U87">
        <v>0.94620959999999987</v>
      </c>
      <c r="V87">
        <v>9.2715839999999994E-2</v>
      </c>
      <c r="W87">
        <v>0.10224144</v>
      </c>
      <c r="X87">
        <v>6</v>
      </c>
      <c r="Y87">
        <v>0.2</v>
      </c>
      <c r="Z87">
        <v>0.5</v>
      </c>
      <c r="AA87">
        <v>0</v>
      </c>
      <c r="AB87">
        <v>7.8744960000000003E-2</v>
      </c>
      <c r="AC87">
        <v>0</v>
      </c>
      <c r="AD87">
        <v>0</v>
      </c>
      <c r="AE87">
        <v>0</v>
      </c>
      <c r="AG87">
        <f t="array" ref="AG87:AH87">T1T2(T87,S87,V87,X87,Y87)</f>
        <v>0.72913692559629895</v>
      </c>
      <c r="AH87">
        <v>0.14474944961590697</v>
      </c>
      <c r="AJ87">
        <f t="array" ref="AJ87:AM87">Canay(T87,AB87,S87,V87,AG87,AH87)</f>
        <v>0.31037982872711117</v>
      </c>
      <c r="AK87">
        <v>0.12448040482824266</v>
      </c>
      <c r="AL87">
        <v>0.37323617438255585</v>
      </c>
      <c r="AM87">
        <v>1.5995172850122492E-2</v>
      </c>
      <c r="AO87" s="1">
        <f t="array" ref="AO87:AR87">Niipt(T87,AB87,S87,V87,X87,Y87)</f>
        <v>0</v>
      </c>
      <c r="AP87" s="1">
        <v>0</v>
      </c>
      <c r="AQ87" s="1">
        <v>0</v>
      </c>
      <c r="AR87" s="1">
        <v>0</v>
      </c>
      <c r="AT87" s="1">
        <f t="shared" si="5"/>
        <v>0</v>
      </c>
      <c r="AU87" s="1">
        <f t="shared" si="6"/>
        <v>0</v>
      </c>
      <c r="AV87" s="1">
        <f t="shared" si="7"/>
        <v>0</v>
      </c>
      <c r="AW87" s="1">
        <f t="shared" si="8"/>
        <v>0</v>
      </c>
    </row>
    <row r="88" spans="1:49" x14ac:dyDescent="0.25">
      <c r="A88" t="s">
        <v>31</v>
      </c>
      <c r="B88" t="s">
        <v>31</v>
      </c>
      <c r="C88">
        <v>60605035</v>
      </c>
      <c r="D88" t="s">
        <v>120</v>
      </c>
      <c r="E88">
        <v>60605010</v>
      </c>
      <c r="F88" t="s">
        <v>34</v>
      </c>
      <c r="G88">
        <v>0</v>
      </c>
      <c r="H88">
        <v>1</v>
      </c>
      <c r="I88">
        <v>60605035</v>
      </c>
      <c r="J88">
        <v>0</v>
      </c>
      <c r="K88">
        <v>0</v>
      </c>
      <c r="L88">
        <v>44.96710586999999</v>
      </c>
      <c r="M88">
        <v>8.4894132406445504</v>
      </c>
      <c r="N88">
        <v>63</v>
      </c>
      <c r="O88">
        <v>6.3</v>
      </c>
      <c r="P88">
        <v>0.8</v>
      </c>
      <c r="Q88">
        <v>1</v>
      </c>
      <c r="R88">
        <v>6.5857142857142899</v>
      </c>
      <c r="S88">
        <v>0.17463599999999999</v>
      </c>
      <c r="T88">
        <v>1.2161016</v>
      </c>
      <c r="U88">
        <v>1.09417392</v>
      </c>
      <c r="V88">
        <v>0.1143072</v>
      </c>
      <c r="W88">
        <v>0.12573792</v>
      </c>
      <c r="X88">
        <v>6.09</v>
      </c>
      <c r="Y88">
        <v>0.2</v>
      </c>
      <c r="Z88">
        <v>0.5</v>
      </c>
      <c r="AA88">
        <v>0</v>
      </c>
      <c r="AB88">
        <v>0.11303712</v>
      </c>
      <c r="AC88">
        <v>0</v>
      </c>
      <c r="AD88">
        <v>0</v>
      </c>
      <c r="AE88">
        <v>0</v>
      </c>
      <c r="AG88">
        <f t="array" ref="AG88:AH88">T1T2(T88,S88,V88,X88,Y88)</f>
        <v>0.80815374412649732</v>
      </c>
      <c r="AH88">
        <v>0.14166319282530482</v>
      </c>
      <c r="AJ88">
        <f t="array" ref="AJ88:AM88">Canay(T88,AB88,S88,V88,AG88,AH88)</f>
        <v>0.38514564984016586</v>
      </c>
      <c r="AK88">
        <v>0.15369798333480122</v>
      </c>
      <c r="AL88">
        <v>0.36484213456622328</v>
      </c>
      <c r="AM88">
        <v>1.2821513124195332E-3</v>
      </c>
      <c r="AO88" s="1">
        <f t="array" ref="AO88:AR88">Niipt(T88,AB88,S88,V88,X88,Y88)</f>
        <v>0</v>
      </c>
      <c r="AP88" s="1">
        <v>0</v>
      </c>
      <c r="AQ88" s="1">
        <v>0</v>
      </c>
      <c r="AR88" s="1">
        <v>0</v>
      </c>
      <c r="AT88" s="1">
        <f t="shared" si="5"/>
        <v>0</v>
      </c>
      <c r="AU88" s="1">
        <f t="shared" si="6"/>
        <v>0</v>
      </c>
      <c r="AV88" s="1">
        <f t="shared" si="7"/>
        <v>0</v>
      </c>
      <c r="AW88" s="1">
        <f t="shared" si="8"/>
        <v>0</v>
      </c>
    </row>
    <row r="89" spans="1:49" x14ac:dyDescent="0.25">
      <c r="A89" t="s">
        <v>31</v>
      </c>
      <c r="B89" t="s">
        <v>31</v>
      </c>
      <c r="C89">
        <v>60402075</v>
      </c>
      <c r="D89" t="s">
        <v>121</v>
      </c>
      <c r="E89">
        <v>60402075</v>
      </c>
      <c r="F89" t="s">
        <v>34</v>
      </c>
      <c r="G89">
        <v>0</v>
      </c>
      <c r="H89">
        <v>0</v>
      </c>
      <c r="I89">
        <v>60402075</v>
      </c>
      <c r="J89">
        <v>0</v>
      </c>
      <c r="K89">
        <v>0</v>
      </c>
      <c r="L89">
        <v>197.8</v>
      </c>
      <c r="M89">
        <v>-6.4838776300570897</v>
      </c>
      <c r="N89">
        <v>240</v>
      </c>
      <c r="O89">
        <v>15.8</v>
      </c>
      <c r="P89">
        <v>0.85</v>
      </c>
      <c r="Q89">
        <v>1</v>
      </c>
      <c r="R89">
        <v>10.24</v>
      </c>
      <c r="S89">
        <v>0.33420555000000002</v>
      </c>
      <c r="T89">
        <v>1.074232125</v>
      </c>
      <c r="U89">
        <v>0.68609393333333302</v>
      </c>
      <c r="V89">
        <v>0.22015127500000001</v>
      </c>
      <c r="W89">
        <v>0.23783410833333299</v>
      </c>
      <c r="X89">
        <v>10.199999999999998</v>
      </c>
      <c r="Y89">
        <v>0.13999999999999999</v>
      </c>
      <c r="Z89">
        <v>0.5</v>
      </c>
      <c r="AA89">
        <v>0</v>
      </c>
      <c r="AB89">
        <v>0.16719118916666698</v>
      </c>
      <c r="AC89">
        <v>0</v>
      </c>
      <c r="AD89">
        <v>0</v>
      </c>
      <c r="AE89">
        <v>0</v>
      </c>
      <c r="AG89">
        <f t="array" ref="AG89:AH89">T1T2(T89,S89,V89,X89,Y89)</f>
        <v>3.1395980857394585</v>
      </c>
      <c r="AH89">
        <v>9.321315781823214E-2</v>
      </c>
      <c r="AJ89">
        <f t="array" ref="AJ89:AM89">Canay(T89,AB89,S89,V89,AG89,AH89)</f>
        <v>0.11499312520369877</v>
      </c>
      <c r="AK89">
        <v>0.21600123061307519</v>
      </c>
      <c r="AL89">
        <v>1.7131948857874841</v>
      </c>
      <c r="AM89">
        <v>7.6045307599948347E-2</v>
      </c>
      <c r="AO89" s="1">
        <f t="array" ref="AO89:AR89">Niipt(T89,AB89,S89,V89,X89,Y89)</f>
        <v>0.1140209335982344</v>
      </c>
      <c r="AP89" s="1">
        <v>0.20470732709547945</v>
      </c>
      <c r="AQ89" s="1">
        <v>1.6698971476727409</v>
      </c>
      <c r="AR89" s="1">
        <v>7.7551629565244876E-2</v>
      </c>
      <c r="AT89" s="1">
        <f t="shared" si="5"/>
        <v>0.84543454553672714</v>
      </c>
      <c r="AU89" s="1">
        <f t="shared" si="6"/>
        <v>5.2286292469447089</v>
      </c>
      <c r="AV89" s="1">
        <f t="shared" si="7"/>
        <v>2.527309559113065</v>
      </c>
      <c r="AW89" s="1">
        <f t="shared" si="8"/>
        <v>-1.980821713840436</v>
      </c>
    </row>
    <row r="90" spans="1:49" x14ac:dyDescent="0.25">
      <c r="A90" t="s">
        <v>31</v>
      </c>
      <c r="B90" t="s">
        <v>31</v>
      </c>
      <c r="C90">
        <v>60402074</v>
      </c>
      <c r="D90" t="s">
        <v>122</v>
      </c>
      <c r="E90">
        <v>60402074</v>
      </c>
      <c r="F90" t="s">
        <v>34</v>
      </c>
      <c r="G90">
        <v>0</v>
      </c>
      <c r="H90">
        <v>0</v>
      </c>
      <c r="I90">
        <v>60402074</v>
      </c>
      <c r="J90">
        <v>0</v>
      </c>
      <c r="K90">
        <v>0</v>
      </c>
      <c r="L90">
        <v>198.49</v>
      </c>
      <c r="M90">
        <v>-6.4797775358105705</v>
      </c>
      <c r="N90">
        <v>240</v>
      </c>
      <c r="O90">
        <v>15.8</v>
      </c>
      <c r="P90">
        <v>0.85</v>
      </c>
      <c r="Q90">
        <v>1</v>
      </c>
      <c r="R90">
        <v>10.24</v>
      </c>
      <c r="S90">
        <v>0.33420555000000002</v>
      </c>
      <c r="T90">
        <v>1.074232125</v>
      </c>
      <c r="U90">
        <v>0.68609393333333302</v>
      </c>
      <c r="V90">
        <v>0.22015127500000001</v>
      </c>
      <c r="W90">
        <v>0.23783410833333299</v>
      </c>
      <c r="X90">
        <v>10.199999999999998</v>
      </c>
      <c r="Y90">
        <v>0.13999999999999999</v>
      </c>
      <c r="Z90">
        <v>0.5</v>
      </c>
      <c r="AA90">
        <v>0</v>
      </c>
      <c r="AB90">
        <v>0.16719118916666698</v>
      </c>
      <c r="AC90">
        <v>0</v>
      </c>
      <c r="AD90">
        <v>0</v>
      </c>
      <c r="AE90">
        <v>0</v>
      </c>
      <c r="AG90">
        <f t="array" ref="AG90:AH90">T1T2(T90,S90,V90,X90,Y90)</f>
        <v>3.1395980857394585</v>
      </c>
      <c r="AH90">
        <v>9.321315781823214E-2</v>
      </c>
      <c r="AJ90">
        <f t="array" ref="AJ90:AM90">Canay(T90,AB90,S90,V90,AG90,AH90)</f>
        <v>0.11499312520369877</v>
      </c>
      <c r="AK90">
        <v>0.21600123061307519</v>
      </c>
      <c r="AL90">
        <v>1.7131948857874841</v>
      </c>
      <c r="AM90">
        <v>7.6045307599948347E-2</v>
      </c>
      <c r="AO90" s="1">
        <f t="array" ref="AO90:AR90">Niipt(T90,AB90,S90,V90,X90,Y90)</f>
        <v>0.1140209335982344</v>
      </c>
      <c r="AP90" s="1">
        <v>0.20470732709547945</v>
      </c>
      <c r="AQ90" s="1">
        <v>1.6698971476727409</v>
      </c>
      <c r="AR90" s="1">
        <v>7.7551629565244876E-2</v>
      </c>
      <c r="AT90" s="1">
        <f t="shared" si="5"/>
        <v>0.84543454553672714</v>
      </c>
      <c r="AU90" s="1">
        <f t="shared" si="6"/>
        <v>5.2286292469447089</v>
      </c>
      <c r="AV90" s="1">
        <f t="shared" si="7"/>
        <v>2.527309559113065</v>
      </c>
      <c r="AW90" s="1">
        <f t="shared" si="8"/>
        <v>-1.980821713840436</v>
      </c>
    </row>
    <row r="91" spans="1:49" x14ac:dyDescent="0.25">
      <c r="A91" t="s">
        <v>31</v>
      </c>
      <c r="B91" t="s">
        <v>31</v>
      </c>
      <c r="C91">
        <v>60402073</v>
      </c>
      <c r="D91" t="s">
        <v>123</v>
      </c>
      <c r="E91">
        <v>60402073</v>
      </c>
      <c r="F91" t="s">
        <v>34</v>
      </c>
      <c r="G91">
        <v>0</v>
      </c>
      <c r="H91">
        <v>0</v>
      </c>
      <c r="I91">
        <v>60402073</v>
      </c>
      <c r="J91">
        <v>0</v>
      </c>
      <c r="K91">
        <v>0</v>
      </c>
      <c r="L91">
        <v>250</v>
      </c>
      <c r="M91">
        <v>-1.4689364530839799</v>
      </c>
      <c r="N91">
        <v>240</v>
      </c>
      <c r="O91">
        <v>15.8</v>
      </c>
      <c r="P91">
        <v>0.85</v>
      </c>
      <c r="Q91">
        <v>1</v>
      </c>
      <c r="R91">
        <v>10.24</v>
      </c>
      <c r="S91">
        <v>0.33420555000000002</v>
      </c>
      <c r="T91">
        <v>1.074232125</v>
      </c>
      <c r="U91">
        <v>0.68609393333333302</v>
      </c>
      <c r="V91">
        <v>0.22015127500000001</v>
      </c>
      <c r="W91">
        <v>0.23783410833333299</v>
      </c>
      <c r="X91">
        <v>10.199999999999998</v>
      </c>
      <c r="Y91">
        <v>0.13999999999999999</v>
      </c>
      <c r="Z91">
        <v>0.5</v>
      </c>
      <c r="AA91">
        <v>0</v>
      </c>
      <c r="AB91">
        <v>0.16719118916666698</v>
      </c>
      <c r="AC91">
        <v>0</v>
      </c>
      <c r="AD91">
        <v>0</v>
      </c>
      <c r="AE91">
        <v>0</v>
      </c>
      <c r="AG91">
        <f t="array" ref="AG91:AH91">T1T2(T91,S91,V91,X91,Y91)</f>
        <v>3.1395980857394585</v>
      </c>
      <c r="AH91">
        <v>9.321315781823214E-2</v>
      </c>
      <c r="AJ91">
        <f t="array" ref="AJ91:AM91">Canay(T91,AB91,S91,V91,AG91,AH91)</f>
        <v>0.11499312520369877</v>
      </c>
      <c r="AK91">
        <v>0.21600123061307519</v>
      </c>
      <c r="AL91">
        <v>1.7131948857874841</v>
      </c>
      <c r="AM91">
        <v>7.6045307599948347E-2</v>
      </c>
      <c r="AO91" s="1">
        <f t="array" ref="AO91:AR91">Niipt(T91,AB91,S91,V91,X91,Y91)</f>
        <v>0.1140209335982344</v>
      </c>
      <c r="AP91" s="1">
        <v>0.20470732709547945</v>
      </c>
      <c r="AQ91" s="1">
        <v>1.6698971476727409</v>
      </c>
      <c r="AR91" s="1">
        <v>7.7551629565244876E-2</v>
      </c>
      <c r="AT91" s="1">
        <f t="shared" si="5"/>
        <v>0.84543454553672714</v>
      </c>
      <c r="AU91" s="1">
        <f t="shared" si="6"/>
        <v>5.2286292469447089</v>
      </c>
      <c r="AV91" s="1">
        <f t="shared" si="7"/>
        <v>2.527309559113065</v>
      </c>
      <c r="AW91" s="1">
        <f t="shared" si="8"/>
        <v>-1.980821713840436</v>
      </c>
    </row>
    <row r="92" spans="1:49" x14ac:dyDescent="0.25">
      <c r="A92" t="s">
        <v>31</v>
      </c>
      <c r="B92" t="s">
        <v>31</v>
      </c>
      <c r="C92">
        <v>60402072</v>
      </c>
      <c r="D92" t="s">
        <v>124</v>
      </c>
      <c r="E92">
        <v>60402072</v>
      </c>
      <c r="F92" t="s">
        <v>34</v>
      </c>
      <c r="G92">
        <v>0</v>
      </c>
      <c r="H92">
        <v>0</v>
      </c>
      <c r="I92">
        <v>60402072</v>
      </c>
      <c r="J92">
        <v>0</v>
      </c>
      <c r="K92">
        <v>0</v>
      </c>
      <c r="L92">
        <v>240</v>
      </c>
      <c r="M92">
        <v>-1.54242040929307</v>
      </c>
      <c r="N92">
        <v>240</v>
      </c>
      <c r="O92">
        <v>15.8</v>
      </c>
      <c r="P92">
        <v>0.85</v>
      </c>
      <c r="Q92">
        <v>1</v>
      </c>
      <c r="R92">
        <v>10.24</v>
      </c>
      <c r="S92">
        <v>0.33420555000000002</v>
      </c>
      <c r="T92">
        <v>1.074232125</v>
      </c>
      <c r="U92">
        <v>0.68609393333333302</v>
      </c>
      <c r="V92">
        <v>0.22015127500000001</v>
      </c>
      <c r="W92">
        <v>0.23783410833333299</v>
      </c>
      <c r="X92">
        <v>10.199999999999998</v>
      </c>
      <c r="Y92">
        <v>0.13999999999999999</v>
      </c>
      <c r="Z92">
        <v>0.5</v>
      </c>
      <c r="AA92">
        <v>0</v>
      </c>
      <c r="AB92">
        <v>0.16719118916666698</v>
      </c>
      <c r="AC92">
        <v>0</v>
      </c>
      <c r="AD92">
        <v>0</v>
      </c>
      <c r="AE92">
        <v>0</v>
      </c>
      <c r="AG92">
        <f t="array" ref="AG92:AH92">T1T2(T92,S92,V92,X92,Y92)</f>
        <v>3.1395980857394585</v>
      </c>
      <c r="AH92">
        <v>9.321315781823214E-2</v>
      </c>
      <c r="AJ92">
        <f t="array" ref="AJ92:AM92">Canay(T92,AB92,S92,V92,AG92,AH92)</f>
        <v>0.11499312520369877</v>
      </c>
      <c r="AK92">
        <v>0.21600123061307519</v>
      </c>
      <c r="AL92">
        <v>1.7131948857874841</v>
      </c>
      <c r="AM92">
        <v>7.6045307599948347E-2</v>
      </c>
      <c r="AO92" s="1">
        <f t="array" ref="AO92:AR92">Niipt(T92,AB92,S92,V92,X92,Y92)</f>
        <v>0.1140209335982344</v>
      </c>
      <c r="AP92" s="1">
        <v>0.20470732709547945</v>
      </c>
      <c r="AQ92" s="1">
        <v>1.6698971476727409</v>
      </c>
      <c r="AR92" s="1">
        <v>7.7551629565244876E-2</v>
      </c>
      <c r="AT92" s="1">
        <f t="shared" si="5"/>
        <v>0.84543454553672714</v>
      </c>
      <c r="AU92" s="1">
        <f t="shared" si="6"/>
        <v>5.2286292469447089</v>
      </c>
      <c r="AV92" s="1">
        <f t="shared" si="7"/>
        <v>2.527309559113065</v>
      </c>
      <c r="AW92" s="1">
        <f t="shared" si="8"/>
        <v>-1.980821713840436</v>
      </c>
    </row>
    <row r="93" spans="1:49" x14ac:dyDescent="0.25">
      <c r="A93" t="s">
        <v>31</v>
      </c>
      <c r="B93" t="s">
        <v>32</v>
      </c>
      <c r="C93">
        <v>60402071</v>
      </c>
      <c r="D93" t="s">
        <v>125</v>
      </c>
      <c r="E93">
        <v>60402071</v>
      </c>
      <c r="F93" t="s">
        <v>34</v>
      </c>
      <c r="G93">
        <v>0</v>
      </c>
      <c r="H93">
        <v>0</v>
      </c>
      <c r="I93">
        <v>60402071</v>
      </c>
      <c r="J93">
        <v>0</v>
      </c>
      <c r="K93">
        <v>0</v>
      </c>
      <c r="L93">
        <v>0</v>
      </c>
      <c r="M93">
        <v>0</v>
      </c>
      <c r="N93">
        <v>240</v>
      </c>
      <c r="O93">
        <v>15.8</v>
      </c>
      <c r="P93">
        <v>0.85</v>
      </c>
      <c r="Q93">
        <v>1</v>
      </c>
      <c r="R93">
        <v>10.24</v>
      </c>
      <c r="S93">
        <v>0.33420555000000002</v>
      </c>
      <c r="T93">
        <v>1.074232125</v>
      </c>
      <c r="U93">
        <v>0.68609393333333302</v>
      </c>
      <c r="V93">
        <v>0.22015127500000001</v>
      </c>
      <c r="W93">
        <v>0.23783410833333299</v>
      </c>
      <c r="X93">
        <v>10.199999999999998</v>
      </c>
      <c r="Y93">
        <v>0.13999999999999999</v>
      </c>
      <c r="Z93">
        <v>0.5</v>
      </c>
      <c r="AA93">
        <v>0</v>
      </c>
      <c r="AB93">
        <v>0.16719118916666698</v>
      </c>
      <c r="AC93">
        <v>0</v>
      </c>
      <c r="AD93">
        <v>0</v>
      </c>
      <c r="AE93">
        <v>0</v>
      </c>
      <c r="AG93">
        <f t="array" ref="AG93:AH93">T1T2(T93,S93,V93,X93,Y93)</f>
        <v>3.1395980857394585</v>
      </c>
      <c r="AH93">
        <v>9.321315781823214E-2</v>
      </c>
      <c r="AJ93">
        <f t="array" ref="AJ93:AM93">Canay(T93,AB93,S93,V93,AG93,AH93)</f>
        <v>0.11499312520369877</v>
      </c>
      <c r="AK93">
        <v>0.21600123061307519</v>
      </c>
      <c r="AL93">
        <v>1.7131948857874841</v>
      </c>
      <c r="AM93">
        <v>7.6045307599948347E-2</v>
      </c>
      <c r="AO93" s="1">
        <f t="array" ref="AO93:AR93">Niipt(T93,AB93,S93,V93,X93,Y93)</f>
        <v>0.1140209335982344</v>
      </c>
      <c r="AP93" s="1">
        <v>0.20470732709547945</v>
      </c>
      <c r="AQ93" s="1">
        <v>1.6698971476727409</v>
      </c>
      <c r="AR93" s="1">
        <v>7.7551629565244876E-2</v>
      </c>
      <c r="AT93" s="1">
        <f t="shared" si="5"/>
        <v>0.84543454553672714</v>
      </c>
      <c r="AU93" s="1">
        <f t="shared" si="6"/>
        <v>5.2286292469447089</v>
      </c>
      <c r="AV93" s="1">
        <f t="shared" si="7"/>
        <v>2.527309559113065</v>
      </c>
      <c r="AW93" s="1">
        <f t="shared" si="8"/>
        <v>-1.980821713840436</v>
      </c>
    </row>
    <row r="94" spans="1:49" x14ac:dyDescent="0.25">
      <c r="A94" t="s">
        <v>31</v>
      </c>
      <c r="B94" t="s">
        <v>32</v>
      </c>
      <c r="C94">
        <v>60402110</v>
      </c>
      <c r="D94" t="s">
        <v>126</v>
      </c>
      <c r="E94">
        <v>60402110</v>
      </c>
      <c r="F94" t="s">
        <v>34</v>
      </c>
      <c r="G94">
        <v>0</v>
      </c>
      <c r="H94">
        <v>0</v>
      </c>
      <c r="I94">
        <v>60402110</v>
      </c>
      <c r="J94">
        <v>0</v>
      </c>
      <c r="K94">
        <v>0</v>
      </c>
      <c r="L94">
        <v>0</v>
      </c>
      <c r="M94">
        <v>0</v>
      </c>
      <c r="N94">
        <v>240</v>
      </c>
      <c r="O94">
        <v>15.8</v>
      </c>
      <c r="P94">
        <v>0.85</v>
      </c>
      <c r="Q94">
        <v>1</v>
      </c>
      <c r="R94">
        <v>10.24</v>
      </c>
      <c r="S94">
        <v>0.33420555000000002</v>
      </c>
      <c r="T94">
        <v>1.074232125</v>
      </c>
      <c r="U94">
        <v>0.68609393333333302</v>
      </c>
      <c r="V94">
        <v>0.22015127500000001</v>
      </c>
      <c r="W94">
        <v>0.23783410833333299</v>
      </c>
      <c r="X94">
        <v>10.199999999999998</v>
      </c>
      <c r="Y94">
        <v>0.13999999999999999</v>
      </c>
      <c r="Z94">
        <v>0.5</v>
      </c>
      <c r="AA94">
        <v>0</v>
      </c>
      <c r="AB94">
        <v>0.16719118916666698</v>
      </c>
      <c r="AC94">
        <v>0</v>
      </c>
      <c r="AD94">
        <v>0</v>
      </c>
      <c r="AE94">
        <v>0</v>
      </c>
      <c r="AG94">
        <f t="array" ref="AG94:AH94">T1T2(T94,S94,V94,X94,Y94)</f>
        <v>3.1395980857394585</v>
      </c>
      <c r="AH94">
        <v>9.321315781823214E-2</v>
      </c>
      <c r="AJ94">
        <f t="array" ref="AJ94:AM94">Canay(T94,AB94,S94,V94,AG94,AH94)</f>
        <v>0.11499312520369877</v>
      </c>
      <c r="AK94">
        <v>0.21600123061307519</v>
      </c>
      <c r="AL94">
        <v>1.7131948857874841</v>
      </c>
      <c r="AM94">
        <v>7.6045307599948347E-2</v>
      </c>
      <c r="AO94" s="1">
        <f t="array" ref="AO94:AR94">Niipt(T94,AB94,S94,V94,X94,Y94)</f>
        <v>0.1140209335982344</v>
      </c>
      <c r="AP94" s="1">
        <v>0.20470732709547945</v>
      </c>
      <c r="AQ94" s="1">
        <v>1.6698971476727409</v>
      </c>
      <c r="AR94" s="1">
        <v>7.7551629565244876E-2</v>
      </c>
      <c r="AT94" s="1">
        <f t="shared" si="5"/>
        <v>0.84543454553672714</v>
      </c>
      <c r="AU94" s="1">
        <f t="shared" si="6"/>
        <v>5.2286292469447089</v>
      </c>
      <c r="AV94" s="1">
        <f t="shared" si="7"/>
        <v>2.527309559113065</v>
      </c>
      <c r="AW94" s="1">
        <f t="shared" si="8"/>
        <v>-1.980821713840436</v>
      </c>
    </row>
    <row r="95" spans="1:49" x14ac:dyDescent="0.25">
      <c r="A95" t="s">
        <v>31</v>
      </c>
      <c r="B95" t="s">
        <v>31</v>
      </c>
      <c r="C95">
        <v>60402107</v>
      </c>
      <c r="D95" t="s">
        <v>127</v>
      </c>
      <c r="E95">
        <v>60402107</v>
      </c>
      <c r="F95" t="s">
        <v>34</v>
      </c>
      <c r="G95">
        <v>0</v>
      </c>
      <c r="H95">
        <v>0</v>
      </c>
      <c r="I95">
        <v>60402107</v>
      </c>
      <c r="J95">
        <v>0</v>
      </c>
      <c r="K95">
        <v>0</v>
      </c>
      <c r="L95">
        <v>240</v>
      </c>
      <c r="M95">
        <v>66.499545854050183</v>
      </c>
      <c r="N95">
        <v>240</v>
      </c>
      <c r="O95">
        <v>15.8</v>
      </c>
      <c r="P95">
        <v>0.85</v>
      </c>
      <c r="Q95">
        <v>1</v>
      </c>
      <c r="R95">
        <v>10.24</v>
      </c>
      <c r="S95">
        <v>0.33420555000000002</v>
      </c>
      <c r="T95">
        <v>1.074232125</v>
      </c>
      <c r="U95">
        <v>0.68609393333333302</v>
      </c>
      <c r="V95">
        <v>0.22015127500000001</v>
      </c>
      <c r="W95">
        <v>0.23783410833333299</v>
      </c>
      <c r="X95">
        <v>10.199999999999998</v>
      </c>
      <c r="Y95">
        <v>0.13999999999999999</v>
      </c>
      <c r="Z95">
        <v>0.5</v>
      </c>
      <c r="AA95">
        <v>0</v>
      </c>
      <c r="AB95">
        <v>0.16719118916666698</v>
      </c>
      <c r="AC95">
        <v>0</v>
      </c>
      <c r="AD95">
        <v>0</v>
      </c>
      <c r="AE95">
        <v>0</v>
      </c>
      <c r="AG95">
        <f t="array" ref="AG95:AH95">T1T2(T95,S95,V95,X95,Y95)</f>
        <v>3.1395980857394585</v>
      </c>
      <c r="AH95">
        <v>9.321315781823214E-2</v>
      </c>
      <c r="AJ95">
        <f t="array" ref="AJ95:AM95">Canay(T95,AB95,S95,V95,AG95,AH95)</f>
        <v>0.11499312520369877</v>
      </c>
      <c r="AK95">
        <v>0.21600123061307519</v>
      </c>
      <c r="AL95">
        <v>1.7131948857874841</v>
      </c>
      <c r="AM95">
        <v>7.6045307599948347E-2</v>
      </c>
      <c r="AO95" s="1">
        <f t="array" ref="AO95:AR95">Niipt(T95,AB95,S95,V95,X95,Y95)</f>
        <v>0.1140209335982344</v>
      </c>
      <c r="AP95" s="1">
        <v>0.20470732709547945</v>
      </c>
      <c r="AQ95" s="1">
        <v>1.6698971476727409</v>
      </c>
      <c r="AR95" s="1">
        <v>7.7551629565244876E-2</v>
      </c>
      <c r="AT95" s="1">
        <f t="shared" si="5"/>
        <v>0.84543454553672714</v>
      </c>
      <c r="AU95" s="1">
        <f t="shared" si="6"/>
        <v>5.2286292469447089</v>
      </c>
      <c r="AV95" s="1">
        <f t="shared" si="7"/>
        <v>2.527309559113065</v>
      </c>
      <c r="AW95" s="1">
        <f t="shared" si="8"/>
        <v>-1.980821713840436</v>
      </c>
    </row>
    <row r="96" spans="1:49" x14ac:dyDescent="0.25">
      <c r="A96" t="s">
        <v>31</v>
      </c>
      <c r="B96" t="s">
        <v>31</v>
      </c>
      <c r="C96">
        <v>60402104</v>
      </c>
      <c r="D96" t="s">
        <v>128</v>
      </c>
      <c r="E96">
        <v>60402104</v>
      </c>
      <c r="F96" t="s">
        <v>34</v>
      </c>
      <c r="G96">
        <v>0</v>
      </c>
      <c r="H96">
        <v>0</v>
      </c>
      <c r="I96">
        <v>60402104</v>
      </c>
      <c r="J96">
        <v>0</v>
      </c>
      <c r="K96">
        <v>0</v>
      </c>
      <c r="L96">
        <v>240</v>
      </c>
      <c r="M96">
        <v>66.499545854050183</v>
      </c>
      <c r="N96">
        <v>240</v>
      </c>
      <c r="O96">
        <v>15.8</v>
      </c>
      <c r="P96">
        <v>0.85</v>
      </c>
      <c r="Q96">
        <v>1</v>
      </c>
      <c r="R96">
        <v>10.24</v>
      </c>
      <c r="S96">
        <v>0.33420555000000002</v>
      </c>
      <c r="T96">
        <v>1.074232125</v>
      </c>
      <c r="U96">
        <v>0.68609393333333302</v>
      </c>
      <c r="V96">
        <v>0.22015127500000001</v>
      </c>
      <c r="W96">
        <v>0.23783410833333299</v>
      </c>
      <c r="X96">
        <v>10.199999999999998</v>
      </c>
      <c r="Y96">
        <v>0.13999999999999999</v>
      </c>
      <c r="Z96">
        <v>0.5</v>
      </c>
      <c r="AA96">
        <v>0</v>
      </c>
      <c r="AB96">
        <v>0.16719118916666698</v>
      </c>
      <c r="AC96">
        <v>0</v>
      </c>
      <c r="AD96">
        <v>0</v>
      </c>
      <c r="AE96">
        <v>0</v>
      </c>
      <c r="AG96">
        <f t="array" ref="AG96:AH96">T1T2(T96,S96,V96,X96,Y96)</f>
        <v>3.1395980857394585</v>
      </c>
      <c r="AH96">
        <v>9.321315781823214E-2</v>
      </c>
      <c r="AJ96">
        <f t="array" ref="AJ96:AM96">Canay(T96,AB96,S96,V96,AG96,AH96)</f>
        <v>0.11499312520369877</v>
      </c>
      <c r="AK96">
        <v>0.21600123061307519</v>
      </c>
      <c r="AL96">
        <v>1.7131948857874841</v>
      </c>
      <c r="AM96">
        <v>7.6045307599948347E-2</v>
      </c>
      <c r="AO96" s="1">
        <f t="array" ref="AO96:AR96">Niipt(T96,AB96,S96,V96,X96,Y96)</f>
        <v>0.1140209335982344</v>
      </c>
      <c r="AP96" s="1">
        <v>0.20470732709547945</v>
      </c>
      <c r="AQ96" s="1">
        <v>1.6698971476727409</v>
      </c>
      <c r="AR96" s="1">
        <v>7.7551629565244876E-2</v>
      </c>
      <c r="AT96" s="1">
        <f t="shared" si="5"/>
        <v>0.84543454553672714</v>
      </c>
      <c r="AU96" s="1">
        <f t="shared" si="6"/>
        <v>5.2286292469447089</v>
      </c>
      <c r="AV96" s="1">
        <f t="shared" si="7"/>
        <v>2.527309559113065</v>
      </c>
      <c r="AW96" s="1">
        <f t="shared" si="8"/>
        <v>-1.980821713840436</v>
      </c>
    </row>
    <row r="97" spans="1:49" x14ac:dyDescent="0.25">
      <c r="A97" t="s">
        <v>31</v>
      </c>
      <c r="B97" t="s">
        <v>31</v>
      </c>
      <c r="C97">
        <v>60402101</v>
      </c>
      <c r="D97" t="s">
        <v>129</v>
      </c>
      <c r="E97">
        <v>60402101</v>
      </c>
      <c r="F97" t="s">
        <v>34</v>
      </c>
      <c r="G97">
        <v>0</v>
      </c>
      <c r="H97">
        <v>0</v>
      </c>
      <c r="I97">
        <v>60402101</v>
      </c>
      <c r="J97">
        <v>0</v>
      </c>
      <c r="K97">
        <v>0</v>
      </c>
      <c r="L97">
        <v>240</v>
      </c>
      <c r="M97">
        <v>65.868567100735405</v>
      </c>
      <c r="N97">
        <v>240</v>
      </c>
      <c r="O97">
        <v>15.8</v>
      </c>
      <c r="P97">
        <v>0.85</v>
      </c>
      <c r="Q97">
        <v>1</v>
      </c>
      <c r="R97">
        <v>10.24</v>
      </c>
      <c r="S97">
        <v>0.33420555000000002</v>
      </c>
      <c r="T97">
        <v>1.074232125</v>
      </c>
      <c r="U97">
        <v>0.68609393333333302</v>
      </c>
      <c r="V97">
        <v>0.22015127500000001</v>
      </c>
      <c r="W97">
        <v>0.23783410833333299</v>
      </c>
      <c r="X97">
        <v>10.199999999999998</v>
      </c>
      <c r="Y97">
        <v>0.13999999999999999</v>
      </c>
      <c r="Z97">
        <v>0.5</v>
      </c>
      <c r="AA97">
        <v>0</v>
      </c>
      <c r="AB97">
        <v>0.16719118916666698</v>
      </c>
      <c r="AC97">
        <v>0</v>
      </c>
      <c r="AD97">
        <v>0</v>
      </c>
      <c r="AE97">
        <v>0</v>
      </c>
      <c r="AG97">
        <f t="array" ref="AG97:AH97">T1T2(T97,S97,V97,X97,Y97)</f>
        <v>3.1395980857394585</v>
      </c>
      <c r="AH97">
        <v>9.321315781823214E-2</v>
      </c>
      <c r="AJ97">
        <f t="array" ref="AJ97:AM97">Canay(T97,AB97,S97,V97,AG97,AH97)</f>
        <v>0.11499312520369877</v>
      </c>
      <c r="AK97">
        <v>0.21600123061307519</v>
      </c>
      <c r="AL97">
        <v>1.7131948857874841</v>
      </c>
      <c r="AM97">
        <v>7.6045307599948347E-2</v>
      </c>
      <c r="AO97" s="1">
        <f t="array" ref="AO97:AR97">Niipt(T97,AB97,S97,V97,X97,Y97)</f>
        <v>0.1140209335982344</v>
      </c>
      <c r="AP97" s="1">
        <v>0.20470732709547945</v>
      </c>
      <c r="AQ97" s="1">
        <v>1.6698971476727409</v>
      </c>
      <c r="AR97" s="1">
        <v>7.7551629565244876E-2</v>
      </c>
      <c r="AT97" s="1">
        <f t="shared" si="5"/>
        <v>0.84543454553672714</v>
      </c>
      <c r="AU97" s="1">
        <f t="shared" si="6"/>
        <v>5.2286292469447089</v>
      </c>
      <c r="AV97" s="1">
        <f t="shared" si="7"/>
        <v>2.527309559113065</v>
      </c>
      <c r="AW97" s="1">
        <f t="shared" si="8"/>
        <v>-1.980821713840436</v>
      </c>
    </row>
    <row r="98" spans="1:49" x14ac:dyDescent="0.25">
      <c r="A98" t="s">
        <v>31</v>
      </c>
      <c r="B98" t="s">
        <v>31</v>
      </c>
      <c r="C98">
        <v>60402098</v>
      </c>
      <c r="D98" t="s">
        <v>130</v>
      </c>
      <c r="E98">
        <v>60402098</v>
      </c>
      <c r="F98" t="s">
        <v>34</v>
      </c>
      <c r="G98">
        <v>0</v>
      </c>
      <c r="H98">
        <v>0</v>
      </c>
      <c r="I98">
        <v>60402098</v>
      </c>
      <c r="J98">
        <v>0</v>
      </c>
      <c r="K98">
        <v>0</v>
      </c>
      <c r="L98">
        <v>240</v>
      </c>
      <c r="M98">
        <v>65.868567100735405</v>
      </c>
      <c r="N98">
        <v>240</v>
      </c>
      <c r="O98">
        <v>15.8</v>
      </c>
      <c r="P98">
        <v>0.85</v>
      </c>
      <c r="Q98">
        <v>1</v>
      </c>
      <c r="R98">
        <v>10.24</v>
      </c>
      <c r="S98">
        <v>0.33420555000000002</v>
      </c>
      <c r="T98">
        <v>1.074232125</v>
      </c>
      <c r="U98">
        <v>0.68609393333333302</v>
      </c>
      <c r="V98">
        <v>0.22015127500000001</v>
      </c>
      <c r="W98">
        <v>0.23783410833333299</v>
      </c>
      <c r="X98">
        <v>10.199999999999998</v>
      </c>
      <c r="Y98">
        <v>0.13999999999999999</v>
      </c>
      <c r="Z98">
        <v>0.5</v>
      </c>
      <c r="AA98">
        <v>0</v>
      </c>
      <c r="AB98">
        <v>0.16719118916666698</v>
      </c>
      <c r="AC98">
        <v>0</v>
      </c>
      <c r="AD98">
        <v>0</v>
      </c>
      <c r="AE98">
        <v>0</v>
      </c>
      <c r="AG98">
        <f t="array" ref="AG98:AH98">T1T2(T98,S98,V98,X98,Y98)</f>
        <v>3.1395980857394585</v>
      </c>
      <c r="AH98">
        <v>9.321315781823214E-2</v>
      </c>
      <c r="AJ98">
        <f t="array" ref="AJ98:AM98">Canay(T98,AB98,S98,V98,AG98,AH98)</f>
        <v>0.11499312520369877</v>
      </c>
      <c r="AK98">
        <v>0.21600123061307519</v>
      </c>
      <c r="AL98">
        <v>1.7131948857874841</v>
      </c>
      <c r="AM98">
        <v>7.6045307599948347E-2</v>
      </c>
      <c r="AO98" s="1">
        <f t="array" ref="AO98:AR98">Niipt(T98,AB98,S98,V98,X98,Y98)</f>
        <v>0.1140209335982344</v>
      </c>
      <c r="AP98" s="1">
        <v>0.20470732709547945</v>
      </c>
      <c r="AQ98" s="1">
        <v>1.6698971476727409</v>
      </c>
      <c r="AR98" s="1">
        <v>7.7551629565244876E-2</v>
      </c>
      <c r="AT98" s="1">
        <f t="shared" si="5"/>
        <v>0.84543454553672714</v>
      </c>
      <c r="AU98" s="1">
        <f t="shared" si="6"/>
        <v>5.2286292469447089</v>
      </c>
      <c r="AV98" s="1">
        <f t="shared" si="7"/>
        <v>2.527309559113065</v>
      </c>
      <c r="AW98" s="1">
        <f t="shared" si="8"/>
        <v>-1.980821713840436</v>
      </c>
    </row>
    <row r="99" spans="1:49" x14ac:dyDescent="0.25">
      <c r="A99" t="s">
        <v>31</v>
      </c>
      <c r="B99" t="s">
        <v>31</v>
      </c>
      <c r="C99">
        <v>60402091</v>
      </c>
      <c r="D99" t="s">
        <v>131</v>
      </c>
      <c r="E99">
        <v>60402091</v>
      </c>
      <c r="F99" t="s">
        <v>34</v>
      </c>
      <c r="G99">
        <v>0</v>
      </c>
      <c r="H99">
        <v>0</v>
      </c>
      <c r="I99">
        <v>60402091</v>
      </c>
      <c r="J99">
        <v>0</v>
      </c>
      <c r="K99">
        <v>0</v>
      </c>
      <c r="L99">
        <v>186.41</v>
      </c>
      <c r="M99">
        <v>14.576278540256601</v>
      </c>
      <c r="N99">
        <v>240</v>
      </c>
      <c r="O99">
        <v>15.8</v>
      </c>
      <c r="P99">
        <v>0.85</v>
      </c>
      <c r="Q99">
        <v>1</v>
      </c>
      <c r="R99">
        <v>10.24</v>
      </c>
      <c r="S99">
        <v>0.33420555000000002</v>
      </c>
      <c r="T99">
        <v>1.074232125</v>
      </c>
      <c r="U99">
        <v>0.68609393333333302</v>
      </c>
      <c r="V99">
        <v>0.22015127500000001</v>
      </c>
      <c r="W99">
        <v>0.23783410833333299</v>
      </c>
      <c r="X99">
        <v>10.199999999999998</v>
      </c>
      <c r="Y99">
        <v>0.13999999999999999</v>
      </c>
      <c r="Z99">
        <v>0.5</v>
      </c>
      <c r="AA99">
        <v>0</v>
      </c>
      <c r="AB99">
        <v>0.16719118916666698</v>
      </c>
      <c r="AC99">
        <v>0</v>
      </c>
      <c r="AD99">
        <v>0</v>
      </c>
      <c r="AE99">
        <v>0</v>
      </c>
      <c r="AG99">
        <f t="array" ref="AG99:AH99">T1T2(T99,S99,V99,X99,Y99)</f>
        <v>3.1395980857394585</v>
      </c>
      <c r="AH99">
        <v>9.321315781823214E-2</v>
      </c>
      <c r="AJ99">
        <f t="array" ref="AJ99:AM99">Canay(T99,AB99,S99,V99,AG99,AH99)</f>
        <v>0.11499312520369877</v>
      </c>
      <c r="AK99">
        <v>0.21600123061307519</v>
      </c>
      <c r="AL99">
        <v>1.7131948857874841</v>
      </c>
      <c r="AM99">
        <v>7.6045307599948347E-2</v>
      </c>
      <c r="AO99" s="1">
        <f t="array" ref="AO99:AR99">Niipt(T99,AB99,S99,V99,X99,Y99)</f>
        <v>0.1140209335982344</v>
      </c>
      <c r="AP99" s="1">
        <v>0.20470732709547945</v>
      </c>
      <c r="AQ99" s="1">
        <v>1.6698971476727409</v>
      </c>
      <c r="AR99" s="1">
        <v>7.7551629565244876E-2</v>
      </c>
      <c r="AT99" s="1">
        <f t="shared" si="5"/>
        <v>0.84543454553672714</v>
      </c>
      <c r="AU99" s="1">
        <f t="shared" si="6"/>
        <v>5.2286292469447089</v>
      </c>
      <c r="AV99" s="1">
        <f t="shared" si="7"/>
        <v>2.527309559113065</v>
      </c>
      <c r="AW99" s="1">
        <f t="shared" si="8"/>
        <v>-1.980821713840436</v>
      </c>
    </row>
    <row r="100" spans="1:49" x14ac:dyDescent="0.25">
      <c r="A100" t="s">
        <v>31</v>
      </c>
      <c r="B100" t="s">
        <v>31</v>
      </c>
      <c r="C100">
        <v>60402086</v>
      </c>
      <c r="D100" t="s">
        <v>132</v>
      </c>
      <c r="E100">
        <v>60402086</v>
      </c>
      <c r="F100" t="s">
        <v>34</v>
      </c>
      <c r="G100">
        <v>0</v>
      </c>
      <c r="H100">
        <v>0</v>
      </c>
      <c r="I100">
        <v>60402086</v>
      </c>
      <c r="J100">
        <v>0</v>
      </c>
      <c r="K100">
        <v>0</v>
      </c>
      <c r="L100">
        <v>184.4</v>
      </c>
      <c r="M100">
        <v>14.565154318117997</v>
      </c>
      <c r="N100">
        <v>240</v>
      </c>
      <c r="O100">
        <v>15.8</v>
      </c>
      <c r="P100">
        <v>0.85</v>
      </c>
      <c r="Q100">
        <v>1</v>
      </c>
      <c r="R100">
        <v>10.24</v>
      </c>
      <c r="S100">
        <v>0.33420555000000002</v>
      </c>
      <c r="T100">
        <v>1.074232125</v>
      </c>
      <c r="U100">
        <v>0.68609393333333302</v>
      </c>
      <c r="V100">
        <v>0.22015127500000001</v>
      </c>
      <c r="W100">
        <v>0.23783410833333299</v>
      </c>
      <c r="X100">
        <v>10.199999999999998</v>
      </c>
      <c r="Y100">
        <v>0.13999999999999999</v>
      </c>
      <c r="Z100">
        <v>0.5</v>
      </c>
      <c r="AA100">
        <v>0</v>
      </c>
      <c r="AB100">
        <v>0.16719118916666698</v>
      </c>
      <c r="AC100">
        <v>0</v>
      </c>
      <c r="AD100">
        <v>0</v>
      </c>
      <c r="AE100">
        <v>0</v>
      </c>
      <c r="AG100">
        <f t="array" ref="AG100:AH100">T1T2(T100,S100,V100,X100,Y100)</f>
        <v>3.1395980857394585</v>
      </c>
      <c r="AH100">
        <v>9.321315781823214E-2</v>
      </c>
      <c r="AJ100">
        <f t="array" ref="AJ100:AM100">Canay(T100,AB100,S100,V100,AG100,AH100)</f>
        <v>0.11499312520369877</v>
      </c>
      <c r="AK100">
        <v>0.21600123061307519</v>
      </c>
      <c r="AL100">
        <v>1.7131948857874841</v>
      </c>
      <c r="AM100">
        <v>7.6045307599948347E-2</v>
      </c>
      <c r="AO100" s="1">
        <f t="array" ref="AO100:AR100">Niipt(T100,AB100,S100,V100,X100,Y100)</f>
        <v>0.1140209335982344</v>
      </c>
      <c r="AP100" s="1">
        <v>0.20470732709547945</v>
      </c>
      <c r="AQ100" s="1">
        <v>1.6698971476727409</v>
      </c>
      <c r="AR100" s="1">
        <v>7.7551629565244876E-2</v>
      </c>
      <c r="AT100" s="1">
        <f t="shared" si="5"/>
        <v>0.84543454553672714</v>
      </c>
      <c r="AU100" s="1">
        <f t="shared" si="6"/>
        <v>5.2286292469447089</v>
      </c>
      <c r="AV100" s="1">
        <f t="shared" si="7"/>
        <v>2.527309559113065</v>
      </c>
      <c r="AW100" s="1">
        <f t="shared" si="8"/>
        <v>-1.980821713840436</v>
      </c>
    </row>
    <row r="101" spans="1:49" x14ac:dyDescent="0.25">
      <c r="A101" t="s">
        <v>31</v>
      </c>
      <c r="B101" t="s">
        <v>31</v>
      </c>
      <c r="C101">
        <v>60402082</v>
      </c>
      <c r="D101" t="s">
        <v>133</v>
      </c>
      <c r="E101">
        <v>60402082</v>
      </c>
      <c r="F101" t="s">
        <v>34</v>
      </c>
      <c r="G101">
        <v>0</v>
      </c>
      <c r="H101">
        <v>0</v>
      </c>
      <c r="I101">
        <v>60402082</v>
      </c>
      <c r="J101">
        <v>0</v>
      </c>
      <c r="K101">
        <v>0</v>
      </c>
      <c r="L101">
        <v>173.26</v>
      </c>
      <c r="M101">
        <v>-19.770196732778803</v>
      </c>
      <c r="N101">
        <v>240</v>
      </c>
      <c r="O101">
        <v>15.8</v>
      </c>
      <c r="P101">
        <v>0.85</v>
      </c>
      <c r="Q101">
        <v>1</v>
      </c>
      <c r="R101">
        <v>10.24</v>
      </c>
      <c r="S101">
        <v>0.33420555000000002</v>
      </c>
      <c r="T101">
        <v>1.074232125</v>
      </c>
      <c r="U101">
        <v>0.68609393333333302</v>
      </c>
      <c r="V101">
        <v>0.22015127500000001</v>
      </c>
      <c r="W101">
        <v>0.23783410833333299</v>
      </c>
      <c r="X101">
        <v>10.199999999999998</v>
      </c>
      <c r="Y101">
        <v>0.13999999999999999</v>
      </c>
      <c r="Z101">
        <v>0.5</v>
      </c>
      <c r="AA101">
        <v>0</v>
      </c>
      <c r="AB101">
        <v>0.16719118916666698</v>
      </c>
      <c r="AC101">
        <v>0</v>
      </c>
      <c r="AD101">
        <v>0</v>
      </c>
      <c r="AE101">
        <v>0</v>
      </c>
      <c r="AG101">
        <f t="array" ref="AG101:AH101">T1T2(T101,S101,V101,X101,Y101)</f>
        <v>3.1395980857394585</v>
      </c>
      <c r="AH101">
        <v>9.321315781823214E-2</v>
      </c>
      <c r="AJ101">
        <f t="array" ref="AJ101:AM101">Canay(T101,AB101,S101,V101,AG101,AH101)</f>
        <v>0.11499312520369877</v>
      </c>
      <c r="AK101">
        <v>0.21600123061307519</v>
      </c>
      <c r="AL101">
        <v>1.7131948857874841</v>
      </c>
      <c r="AM101">
        <v>7.6045307599948347E-2</v>
      </c>
      <c r="AO101" s="1">
        <f t="array" ref="AO101:AR101">Niipt(T101,AB101,S101,V101,X101,Y101)</f>
        <v>0.1140209335982344</v>
      </c>
      <c r="AP101" s="1">
        <v>0.20470732709547945</v>
      </c>
      <c r="AQ101" s="1">
        <v>1.6698971476727409</v>
      </c>
      <c r="AR101" s="1">
        <v>7.7551629565244876E-2</v>
      </c>
      <c r="AT101" s="1">
        <f t="shared" si="5"/>
        <v>0.84543454553672714</v>
      </c>
      <c r="AU101" s="1">
        <f t="shared" si="6"/>
        <v>5.2286292469447089</v>
      </c>
      <c r="AV101" s="1">
        <f t="shared" si="7"/>
        <v>2.527309559113065</v>
      </c>
      <c r="AW101" s="1">
        <f t="shared" si="8"/>
        <v>-1.980821713840436</v>
      </c>
    </row>
    <row r="102" spans="1:49" x14ac:dyDescent="0.25">
      <c r="A102" t="s">
        <v>31</v>
      </c>
      <c r="B102" t="s">
        <v>31</v>
      </c>
      <c r="C102">
        <v>60402078</v>
      </c>
      <c r="D102" t="s">
        <v>134</v>
      </c>
      <c r="E102">
        <v>60402078</v>
      </c>
      <c r="F102" t="s">
        <v>34</v>
      </c>
      <c r="G102">
        <v>0</v>
      </c>
      <c r="H102">
        <v>0</v>
      </c>
      <c r="I102">
        <v>60402078</v>
      </c>
      <c r="J102">
        <v>0</v>
      </c>
      <c r="K102">
        <v>0</v>
      </c>
      <c r="L102">
        <v>178.51</v>
      </c>
      <c r="M102">
        <v>-19.741773423420902</v>
      </c>
      <c r="N102">
        <v>240</v>
      </c>
      <c r="O102">
        <v>15.8</v>
      </c>
      <c r="P102">
        <v>0.85</v>
      </c>
      <c r="Q102">
        <v>1</v>
      </c>
      <c r="R102">
        <v>10.24</v>
      </c>
      <c r="S102">
        <v>0.33420555000000002</v>
      </c>
      <c r="T102">
        <v>1.074232125</v>
      </c>
      <c r="U102">
        <v>0.68609393333333302</v>
      </c>
      <c r="V102">
        <v>0.22015127500000001</v>
      </c>
      <c r="W102">
        <v>0.23783410833333299</v>
      </c>
      <c r="X102">
        <v>10.199999999999998</v>
      </c>
      <c r="Y102">
        <v>0.13999999999999999</v>
      </c>
      <c r="Z102">
        <v>0.5</v>
      </c>
      <c r="AA102">
        <v>0</v>
      </c>
      <c r="AB102">
        <v>0.16719118916666698</v>
      </c>
      <c r="AC102">
        <v>0</v>
      </c>
      <c r="AD102">
        <v>0</v>
      </c>
      <c r="AE102">
        <v>0</v>
      </c>
      <c r="AG102">
        <f t="array" ref="AG102:AH102">T1T2(T102,S102,V102,X102,Y102)</f>
        <v>3.1395980857394585</v>
      </c>
      <c r="AH102">
        <v>9.321315781823214E-2</v>
      </c>
      <c r="AJ102">
        <f t="array" ref="AJ102:AM102">Canay(T102,AB102,S102,V102,AG102,AH102)</f>
        <v>0.11499312520369877</v>
      </c>
      <c r="AK102">
        <v>0.21600123061307519</v>
      </c>
      <c r="AL102">
        <v>1.7131948857874841</v>
      </c>
      <c r="AM102">
        <v>7.6045307599948347E-2</v>
      </c>
      <c r="AO102" s="1">
        <f t="array" ref="AO102:AR102">Niipt(T102,AB102,S102,V102,X102,Y102)</f>
        <v>0.1140209335982344</v>
      </c>
      <c r="AP102" s="1">
        <v>0.20470732709547945</v>
      </c>
      <c r="AQ102" s="1">
        <v>1.6698971476727409</v>
      </c>
      <c r="AR102" s="1">
        <v>7.7551629565244876E-2</v>
      </c>
      <c r="AT102" s="1">
        <f t="shared" si="5"/>
        <v>0.84543454553672714</v>
      </c>
      <c r="AU102" s="1">
        <f t="shared" si="6"/>
        <v>5.2286292469447089</v>
      </c>
      <c r="AV102" s="1">
        <f t="shared" si="7"/>
        <v>2.527309559113065</v>
      </c>
      <c r="AW102" s="1">
        <f t="shared" si="8"/>
        <v>-1.980821713840436</v>
      </c>
    </row>
    <row r="103" spans="1:49" x14ac:dyDescent="0.25">
      <c r="A103" t="s">
        <v>31</v>
      </c>
      <c r="B103" t="s">
        <v>31</v>
      </c>
      <c r="C103">
        <v>60402077</v>
      </c>
      <c r="D103" t="s">
        <v>135</v>
      </c>
      <c r="E103">
        <v>60402077</v>
      </c>
      <c r="F103" t="s">
        <v>34</v>
      </c>
      <c r="G103">
        <v>0</v>
      </c>
      <c r="H103">
        <v>0</v>
      </c>
      <c r="I103">
        <v>60402077</v>
      </c>
      <c r="J103">
        <v>0</v>
      </c>
      <c r="K103">
        <v>0</v>
      </c>
      <c r="L103">
        <v>198.07</v>
      </c>
      <c r="M103">
        <v>-8.1392645035828703</v>
      </c>
      <c r="N103">
        <v>240</v>
      </c>
      <c r="O103">
        <v>15.8</v>
      </c>
      <c r="P103">
        <v>0.85</v>
      </c>
      <c r="Q103">
        <v>1</v>
      </c>
      <c r="R103">
        <v>10.24</v>
      </c>
      <c r="S103">
        <v>0.33420555000000002</v>
      </c>
      <c r="T103">
        <v>1.074232125</v>
      </c>
      <c r="U103">
        <v>0.68609393333333302</v>
      </c>
      <c r="V103">
        <v>0.22015127500000001</v>
      </c>
      <c r="W103">
        <v>0.23783410833333299</v>
      </c>
      <c r="X103">
        <v>10.199999999999998</v>
      </c>
      <c r="Y103">
        <v>0.13999999999999999</v>
      </c>
      <c r="Z103">
        <v>0.5</v>
      </c>
      <c r="AA103">
        <v>0</v>
      </c>
      <c r="AB103">
        <v>0.16719118916666698</v>
      </c>
      <c r="AC103">
        <v>0</v>
      </c>
      <c r="AD103">
        <v>0</v>
      </c>
      <c r="AE103">
        <v>0</v>
      </c>
      <c r="AG103">
        <f t="array" ref="AG103:AH103">T1T2(T103,S103,V103,X103,Y103)</f>
        <v>3.1395980857394585</v>
      </c>
      <c r="AH103">
        <v>9.321315781823214E-2</v>
      </c>
      <c r="AJ103">
        <f t="array" ref="AJ103:AM103">Canay(T103,AB103,S103,V103,AG103,AH103)</f>
        <v>0.11499312520369877</v>
      </c>
      <c r="AK103">
        <v>0.21600123061307519</v>
      </c>
      <c r="AL103">
        <v>1.7131948857874841</v>
      </c>
      <c r="AM103">
        <v>7.6045307599948347E-2</v>
      </c>
      <c r="AO103" s="1">
        <f t="array" ref="AO103:AR103">Niipt(T103,AB103,S103,V103,X103,Y103)</f>
        <v>0.1140209335982344</v>
      </c>
      <c r="AP103" s="1">
        <v>0.20470732709547945</v>
      </c>
      <c r="AQ103" s="1">
        <v>1.6698971476727409</v>
      </c>
      <c r="AR103" s="1">
        <v>7.7551629565244876E-2</v>
      </c>
      <c r="AT103" s="1">
        <f t="shared" si="5"/>
        <v>0.84543454553672714</v>
      </c>
      <c r="AU103" s="1">
        <f t="shared" si="6"/>
        <v>5.2286292469447089</v>
      </c>
      <c r="AV103" s="1">
        <f t="shared" si="7"/>
        <v>2.527309559113065</v>
      </c>
      <c r="AW103" s="1">
        <f t="shared" si="8"/>
        <v>-1.980821713840436</v>
      </c>
    </row>
    <row r="104" spans="1:49" x14ac:dyDescent="0.25">
      <c r="A104" t="s">
        <v>31</v>
      </c>
      <c r="B104" t="s">
        <v>32</v>
      </c>
      <c r="C104">
        <v>60402076</v>
      </c>
      <c r="D104" t="s">
        <v>136</v>
      </c>
      <c r="E104">
        <v>60402076</v>
      </c>
      <c r="F104" t="s">
        <v>34</v>
      </c>
      <c r="G104">
        <v>0</v>
      </c>
      <c r="H104">
        <v>0</v>
      </c>
      <c r="I104">
        <v>60402076</v>
      </c>
      <c r="J104">
        <v>0</v>
      </c>
      <c r="K104">
        <v>0</v>
      </c>
      <c r="L104">
        <v>0</v>
      </c>
      <c r="M104">
        <v>0</v>
      </c>
      <c r="N104">
        <v>240</v>
      </c>
      <c r="O104">
        <v>15.8</v>
      </c>
      <c r="P104">
        <v>0.85</v>
      </c>
      <c r="Q104">
        <v>1</v>
      </c>
      <c r="R104">
        <v>10.24</v>
      </c>
      <c r="S104">
        <v>0.33420555000000002</v>
      </c>
      <c r="T104">
        <v>1.074232125</v>
      </c>
      <c r="U104">
        <v>0.68609393333333302</v>
      </c>
      <c r="V104">
        <v>0.22015127500000001</v>
      </c>
      <c r="W104">
        <v>0.23783410833333299</v>
      </c>
      <c r="X104">
        <v>10.199999999999998</v>
      </c>
      <c r="Y104">
        <v>0.13999999999999999</v>
      </c>
      <c r="Z104">
        <v>0.5</v>
      </c>
      <c r="AA104">
        <v>0</v>
      </c>
      <c r="AB104">
        <v>0.16719118916666698</v>
      </c>
      <c r="AC104">
        <v>0</v>
      </c>
      <c r="AD104">
        <v>0</v>
      </c>
      <c r="AE104">
        <v>0</v>
      </c>
      <c r="AG104">
        <f t="array" ref="AG104:AH104">T1T2(T104,S104,V104,X104,Y104)</f>
        <v>3.1395980857394585</v>
      </c>
      <c r="AH104">
        <v>9.321315781823214E-2</v>
      </c>
      <c r="AJ104">
        <f t="array" ref="AJ104:AM104">Canay(T104,AB104,S104,V104,AG104,AH104)</f>
        <v>0.11499312520369877</v>
      </c>
      <c r="AK104">
        <v>0.21600123061307519</v>
      </c>
      <c r="AL104">
        <v>1.7131948857874841</v>
      </c>
      <c r="AM104">
        <v>7.6045307599948347E-2</v>
      </c>
      <c r="AO104" s="1">
        <f t="array" ref="AO104:AR104">Niipt(T104,AB104,S104,V104,X104,Y104)</f>
        <v>0.1140209335982344</v>
      </c>
      <c r="AP104" s="1">
        <v>0.20470732709547945</v>
      </c>
      <c r="AQ104" s="1">
        <v>1.6698971476727409</v>
      </c>
      <c r="AR104" s="1">
        <v>7.7551629565244876E-2</v>
      </c>
      <c r="AT104" s="1">
        <f t="shared" si="5"/>
        <v>0.84543454553672714</v>
      </c>
      <c r="AU104" s="1">
        <f t="shared" si="6"/>
        <v>5.2286292469447089</v>
      </c>
      <c r="AV104" s="1">
        <f t="shared" si="7"/>
        <v>2.527309559113065</v>
      </c>
      <c r="AW104" s="1">
        <f t="shared" si="8"/>
        <v>-1.980821713840436</v>
      </c>
    </row>
    <row r="105" spans="1:49" x14ac:dyDescent="0.25">
      <c r="A105" t="s">
        <v>31</v>
      </c>
      <c r="B105" t="s">
        <v>32</v>
      </c>
      <c r="C105">
        <v>60402165</v>
      </c>
      <c r="D105" t="s">
        <v>137</v>
      </c>
      <c r="E105">
        <v>60402165</v>
      </c>
      <c r="F105" t="s">
        <v>34</v>
      </c>
      <c r="G105">
        <v>0</v>
      </c>
      <c r="H105">
        <v>0</v>
      </c>
      <c r="I105">
        <v>60402165</v>
      </c>
      <c r="J105">
        <v>0</v>
      </c>
      <c r="K105">
        <v>0</v>
      </c>
      <c r="L105">
        <v>0</v>
      </c>
      <c r="M105">
        <v>0</v>
      </c>
      <c r="N105">
        <v>60</v>
      </c>
      <c r="O105">
        <v>10.5</v>
      </c>
      <c r="P105">
        <v>0.8</v>
      </c>
      <c r="Q105">
        <v>1</v>
      </c>
      <c r="R105">
        <v>8.44</v>
      </c>
      <c r="S105">
        <v>0.32928000000000002</v>
      </c>
      <c r="T105">
        <v>3.234</v>
      </c>
      <c r="U105">
        <v>3.0870000000000002</v>
      </c>
      <c r="V105">
        <v>0.20432999999999998</v>
      </c>
      <c r="W105">
        <v>0.27929999999999994</v>
      </c>
      <c r="X105">
        <v>8.68</v>
      </c>
      <c r="Y105">
        <v>0.05</v>
      </c>
      <c r="Z105">
        <v>0.1</v>
      </c>
      <c r="AA105">
        <v>0</v>
      </c>
      <c r="AB105">
        <v>0.12495000000000001</v>
      </c>
      <c r="AC105">
        <v>0</v>
      </c>
      <c r="AD105">
        <v>0</v>
      </c>
      <c r="AE105">
        <v>0</v>
      </c>
      <c r="AG105">
        <f t="array" ref="AG105:AH105">T1T2(T105,S105,V105,X105,Y105)</f>
        <v>0.86629362906709328</v>
      </c>
      <c r="AH105">
        <v>3.1653134885037196E-2</v>
      </c>
      <c r="AJ105">
        <f t="array" ref="AJ105:AM105">Canay(T105,AB105,S105,V105,AG105,AH105)</f>
        <v>0.4056830184476149</v>
      </c>
      <c r="AK105">
        <v>0.22861039412135847</v>
      </c>
      <c r="AL105">
        <v>6.4359628353100584</v>
      </c>
      <c r="AM105">
        <v>0.12655447359683011</v>
      </c>
      <c r="AO105" s="1">
        <f t="array" ref="AO105:AR105">Niipt(T105,AB105,S105,V105,X105,Y105)</f>
        <v>0.40492961152310719</v>
      </c>
      <c r="AP105" s="1">
        <v>0.21870341599190285</v>
      </c>
      <c r="AQ105" s="1">
        <v>6.3271755035865631</v>
      </c>
      <c r="AR105" s="1">
        <v>0.12980964705882345</v>
      </c>
      <c r="AT105" s="1">
        <f t="shared" si="5"/>
        <v>0.18571320224117063</v>
      </c>
      <c r="AU105" s="1">
        <f t="shared" si="6"/>
        <v>4.3335641704009644</v>
      </c>
      <c r="AV105" s="1">
        <f t="shared" si="7"/>
        <v>1.6903039142278447</v>
      </c>
      <c r="AW105" s="1">
        <f t="shared" si="8"/>
        <v>-2.5721520302502108</v>
      </c>
    </row>
    <row r="106" spans="1:49" x14ac:dyDescent="0.25">
      <c r="A106" t="s">
        <v>31</v>
      </c>
      <c r="B106" t="s">
        <v>31</v>
      </c>
      <c r="C106">
        <v>60402166</v>
      </c>
      <c r="D106" t="s">
        <v>138</v>
      </c>
      <c r="E106">
        <v>60402166</v>
      </c>
      <c r="F106" t="s">
        <v>34</v>
      </c>
      <c r="G106">
        <v>0</v>
      </c>
      <c r="H106">
        <v>0</v>
      </c>
      <c r="I106">
        <v>60402166</v>
      </c>
      <c r="J106">
        <v>0</v>
      </c>
      <c r="K106">
        <v>0</v>
      </c>
      <c r="L106">
        <v>80.039999999999992</v>
      </c>
      <c r="M106">
        <v>37.162127324895195</v>
      </c>
      <c r="N106">
        <v>110</v>
      </c>
      <c r="O106">
        <v>10.5</v>
      </c>
      <c r="P106">
        <v>0.8</v>
      </c>
      <c r="Q106">
        <v>1</v>
      </c>
      <c r="R106">
        <v>7.63</v>
      </c>
      <c r="S106">
        <v>0.22290545454545499</v>
      </c>
      <c r="T106">
        <v>1.5290672727272701</v>
      </c>
      <c r="U106">
        <v>1.37592</v>
      </c>
      <c r="V106">
        <v>0.15394909090909101</v>
      </c>
      <c r="W106">
        <v>0.16918363636363601</v>
      </c>
      <c r="X106">
        <v>6.45</v>
      </c>
      <c r="Y106">
        <v>0.17</v>
      </c>
      <c r="Z106">
        <v>0.5</v>
      </c>
      <c r="AA106">
        <v>0</v>
      </c>
      <c r="AB106">
        <v>0.13951636363636397</v>
      </c>
      <c r="AC106">
        <v>0</v>
      </c>
      <c r="AD106">
        <v>0</v>
      </c>
      <c r="AE106">
        <v>0</v>
      </c>
      <c r="AG106">
        <f t="array" ref="AG106:AH106">T1T2(T106,S106,V106,X106,Y106)</f>
        <v>0.8915389506838266</v>
      </c>
      <c r="AH106">
        <v>0.12382799750122894</v>
      </c>
      <c r="AJ106">
        <f t="array" ref="AJ106:AM106">Canay(T106,AB106,S106,V106,AG106,AH106)</f>
        <v>0.3597979041226223</v>
      </c>
      <c r="AK106">
        <v>0.15323752992913522</v>
      </c>
      <c r="AL106">
        <v>0.60275613833252029</v>
      </c>
      <c r="AM106">
        <v>1.6118243281932339E-2</v>
      </c>
      <c r="AO106" s="1">
        <f t="array" ref="AO106:AR106">Niipt(T106,AB106,S106,V106,X106,Y106)</f>
        <v>0</v>
      </c>
      <c r="AP106" s="1">
        <v>0</v>
      </c>
      <c r="AQ106" s="1">
        <v>0</v>
      </c>
      <c r="AR106" s="1">
        <v>0</v>
      </c>
      <c r="AT106" s="1">
        <f t="shared" si="5"/>
        <v>0</v>
      </c>
      <c r="AU106" s="1">
        <f t="shared" si="6"/>
        <v>0</v>
      </c>
      <c r="AV106" s="1">
        <f t="shared" si="7"/>
        <v>0</v>
      </c>
      <c r="AW106" s="1">
        <f t="shared" si="8"/>
        <v>0</v>
      </c>
    </row>
    <row r="107" spans="1:49" x14ac:dyDescent="0.25">
      <c r="A107" t="s">
        <v>31</v>
      </c>
      <c r="B107" t="s">
        <v>31</v>
      </c>
      <c r="C107">
        <v>60402167</v>
      </c>
      <c r="D107" t="s">
        <v>139</v>
      </c>
      <c r="E107">
        <v>60402167</v>
      </c>
      <c r="F107" t="s">
        <v>34</v>
      </c>
      <c r="G107">
        <v>0</v>
      </c>
      <c r="H107">
        <v>0</v>
      </c>
      <c r="I107">
        <v>60402167</v>
      </c>
      <c r="J107">
        <v>0</v>
      </c>
      <c r="K107">
        <v>0</v>
      </c>
      <c r="L107">
        <v>31.14</v>
      </c>
      <c r="M107">
        <v>24.782553257542496</v>
      </c>
      <c r="N107">
        <v>50</v>
      </c>
      <c r="O107">
        <v>10.5</v>
      </c>
      <c r="P107">
        <v>0.8</v>
      </c>
      <c r="Q107">
        <v>1</v>
      </c>
      <c r="R107">
        <v>5.13</v>
      </c>
      <c r="S107">
        <v>0.39513599999999999</v>
      </c>
      <c r="T107">
        <v>3.8790360000000002</v>
      </c>
      <c r="U107">
        <v>3.4909560000000002</v>
      </c>
      <c r="V107">
        <v>0.245196</v>
      </c>
      <c r="W107">
        <v>0.26989199999999997</v>
      </c>
      <c r="X107">
        <v>8.68</v>
      </c>
      <c r="Y107">
        <v>0.16200000000000001</v>
      </c>
      <c r="Z107">
        <v>0.5</v>
      </c>
      <c r="AA107">
        <v>0</v>
      </c>
      <c r="AB107">
        <v>0.24343200000000001</v>
      </c>
      <c r="AC107">
        <v>0</v>
      </c>
      <c r="AD107">
        <v>0</v>
      </c>
      <c r="AE107">
        <v>0</v>
      </c>
      <c r="AG107">
        <f t="array" ref="AG107:AH107">T1T2(T107,S107,V107,X107,Y107)</f>
        <v>0.82370726187046328</v>
      </c>
      <c r="AH107">
        <v>0.10790744655797124</v>
      </c>
      <c r="AJ107">
        <f t="array" ref="AJ107:AM107">Canay(T107,AB107,S107,V107,AG107,AH107)</f>
        <v>0.73452308591946935</v>
      </c>
      <c r="AK107">
        <v>0.29399153712329595</v>
      </c>
      <c r="AL107">
        <v>1.0415903478452304</v>
      </c>
      <c r="AM107">
        <v>1.7755148781611232E-3</v>
      </c>
      <c r="AO107" s="1">
        <f t="array" ref="AO107:AR107">Niipt(T107,AB107,S107,V107,X107,Y107)</f>
        <v>0</v>
      </c>
      <c r="AP107" s="1">
        <v>0</v>
      </c>
      <c r="AQ107" s="1">
        <v>0</v>
      </c>
      <c r="AR107" s="1">
        <v>0</v>
      </c>
      <c r="AT107" s="1">
        <f t="shared" si="5"/>
        <v>0</v>
      </c>
      <c r="AU107" s="1">
        <f t="shared" si="6"/>
        <v>0</v>
      </c>
      <c r="AV107" s="1">
        <f t="shared" si="7"/>
        <v>0</v>
      </c>
      <c r="AW107" s="1">
        <f t="shared" si="8"/>
        <v>0</v>
      </c>
    </row>
    <row r="108" spans="1:49" x14ac:dyDescent="0.25">
      <c r="A108" t="s">
        <v>31</v>
      </c>
      <c r="B108" t="s">
        <v>31</v>
      </c>
      <c r="C108">
        <v>60402168</v>
      </c>
      <c r="D108" t="s">
        <v>140</v>
      </c>
      <c r="E108">
        <v>60402168</v>
      </c>
      <c r="F108" t="s">
        <v>34</v>
      </c>
      <c r="G108">
        <v>0</v>
      </c>
      <c r="H108">
        <v>0</v>
      </c>
      <c r="I108">
        <v>60402168</v>
      </c>
      <c r="J108">
        <v>0</v>
      </c>
      <c r="K108">
        <v>0</v>
      </c>
      <c r="L108">
        <v>90.36</v>
      </c>
      <c r="M108">
        <v>19.958783264834601</v>
      </c>
      <c r="N108">
        <v>110</v>
      </c>
      <c r="O108">
        <v>10.5</v>
      </c>
      <c r="P108">
        <v>0.8</v>
      </c>
      <c r="Q108">
        <v>1</v>
      </c>
      <c r="R108">
        <v>7.63</v>
      </c>
      <c r="S108">
        <v>0.22290545454545499</v>
      </c>
      <c r="T108">
        <v>1.5290672727272701</v>
      </c>
      <c r="U108">
        <v>1.37592</v>
      </c>
      <c r="V108">
        <v>0.15394909090909101</v>
      </c>
      <c r="W108">
        <v>0.16918363636363601</v>
      </c>
      <c r="X108">
        <v>6.45</v>
      </c>
      <c r="Y108">
        <v>0.17</v>
      </c>
      <c r="Z108">
        <v>0.5</v>
      </c>
      <c r="AA108">
        <v>0</v>
      </c>
      <c r="AB108">
        <v>0.13951636363636397</v>
      </c>
      <c r="AC108">
        <v>0</v>
      </c>
      <c r="AD108">
        <v>0</v>
      </c>
      <c r="AE108">
        <v>0</v>
      </c>
      <c r="AG108">
        <f t="array" ref="AG108:AH108">T1T2(T108,S108,V108,X108,Y108)</f>
        <v>0.8915389506838266</v>
      </c>
      <c r="AH108">
        <v>0.12382799750122894</v>
      </c>
      <c r="AJ108">
        <f t="array" ref="AJ108:AM108">Canay(T108,AB108,S108,V108,AG108,AH108)</f>
        <v>0.3597979041226223</v>
      </c>
      <c r="AK108">
        <v>0.15323752992913522</v>
      </c>
      <c r="AL108">
        <v>0.60275613833252029</v>
      </c>
      <c r="AM108">
        <v>1.6118243281932339E-2</v>
      </c>
      <c r="AO108" s="1">
        <f t="array" ref="AO108:AR108">Niipt(T108,AB108,S108,V108,X108,Y108)</f>
        <v>0</v>
      </c>
      <c r="AP108" s="1">
        <v>0</v>
      </c>
      <c r="AQ108" s="1">
        <v>0</v>
      </c>
      <c r="AR108" s="1">
        <v>0</v>
      </c>
      <c r="AT108" s="1">
        <f t="shared" si="5"/>
        <v>0</v>
      </c>
      <c r="AU108" s="1">
        <f t="shared" si="6"/>
        <v>0</v>
      </c>
      <c r="AV108" s="1">
        <f t="shared" si="7"/>
        <v>0</v>
      </c>
      <c r="AW108" s="1">
        <f t="shared" si="8"/>
        <v>0</v>
      </c>
    </row>
    <row r="109" spans="1:49" x14ac:dyDescent="0.25">
      <c r="A109" t="s">
        <v>31</v>
      </c>
      <c r="B109" t="s">
        <v>31</v>
      </c>
      <c r="C109">
        <v>60401061</v>
      </c>
      <c r="D109" t="s">
        <v>141</v>
      </c>
      <c r="E109">
        <v>60401061</v>
      </c>
      <c r="F109" t="s">
        <v>34</v>
      </c>
      <c r="G109">
        <v>0</v>
      </c>
      <c r="H109">
        <v>1</v>
      </c>
      <c r="I109">
        <v>60401061</v>
      </c>
      <c r="J109">
        <v>0</v>
      </c>
      <c r="K109">
        <v>0</v>
      </c>
      <c r="L109">
        <v>5</v>
      </c>
      <c r="M109">
        <v>108.42102737771998</v>
      </c>
      <c r="N109">
        <v>250</v>
      </c>
      <c r="O109">
        <v>15.8</v>
      </c>
      <c r="P109">
        <v>0.85</v>
      </c>
      <c r="Q109">
        <v>1</v>
      </c>
      <c r="R109">
        <v>9.2999999999999989</v>
      </c>
      <c r="S109">
        <v>0.32083732799999998</v>
      </c>
      <c r="T109">
        <v>0.886122144</v>
      </c>
      <c r="U109">
        <v>0.68835733599999993</v>
      </c>
      <c r="V109">
        <v>0.20370623999999998</v>
      </c>
      <c r="W109">
        <v>0.232564624</v>
      </c>
      <c r="X109">
        <v>9.4</v>
      </c>
      <c r="Y109">
        <v>0.13167999999999996</v>
      </c>
      <c r="Z109">
        <v>0.5</v>
      </c>
      <c r="AA109">
        <v>0</v>
      </c>
      <c r="AB109">
        <v>0.15956988799999997</v>
      </c>
      <c r="AC109">
        <v>0</v>
      </c>
      <c r="AD109">
        <v>0</v>
      </c>
      <c r="AE109">
        <v>0</v>
      </c>
      <c r="AG109">
        <f t="array" ref="AG109:AH109">T1T2(T109,S109,V109,X109,Y109)</f>
        <v>3.3720511331650616</v>
      </c>
      <c r="AH109">
        <v>8.4384807293947511E-2</v>
      </c>
      <c r="AJ109">
        <f t="array" ref="AJ109:AM109">Canay(T109,AB109,S109,V109,AG109,AH109)</f>
        <v>0.10419957902920125</v>
      </c>
      <c r="AK109">
        <v>0.21737165448364271</v>
      </c>
      <c r="AL109">
        <v>1.6632453861290772</v>
      </c>
      <c r="AM109">
        <v>5.9951027555126206E-2</v>
      </c>
      <c r="AO109" s="1">
        <f t="array" ref="AO109:AR109">Niipt(T109,AB109,S109,V109,X109,Y109)</f>
        <v>0.10322513736641457</v>
      </c>
      <c r="AP109" s="1">
        <v>0.20727466762762764</v>
      </c>
      <c r="AQ109" s="1">
        <v>1.6227606074054259</v>
      </c>
      <c r="AR109" s="1">
        <v>6.0767441159420316E-2</v>
      </c>
      <c r="AT109" s="1">
        <f t="shared" si="5"/>
        <v>0.93516852166321929</v>
      </c>
      <c r="AU109" s="1">
        <f t="shared" si="6"/>
        <v>4.6450338154714963</v>
      </c>
      <c r="AV109" s="1">
        <f t="shared" si="7"/>
        <v>2.4340833325786515</v>
      </c>
      <c r="AW109" s="1">
        <f t="shared" si="8"/>
        <v>-1.3618008524431056</v>
      </c>
    </row>
    <row r="110" spans="1:49" x14ac:dyDescent="0.25">
      <c r="A110" t="s">
        <v>31</v>
      </c>
      <c r="B110" t="s">
        <v>31</v>
      </c>
      <c r="C110">
        <v>60401024</v>
      </c>
      <c r="D110" t="s">
        <v>142</v>
      </c>
      <c r="E110">
        <v>60401024</v>
      </c>
      <c r="F110" t="s">
        <v>34</v>
      </c>
      <c r="G110">
        <v>0</v>
      </c>
      <c r="H110">
        <v>1</v>
      </c>
      <c r="I110">
        <v>60401024</v>
      </c>
      <c r="J110">
        <v>0</v>
      </c>
      <c r="K110">
        <v>0</v>
      </c>
      <c r="L110">
        <v>0.2</v>
      </c>
      <c r="M110">
        <v>109.60871203302101</v>
      </c>
      <c r="N110">
        <v>250</v>
      </c>
      <c r="O110">
        <v>15.8</v>
      </c>
      <c r="P110">
        <v>0.85</v>
      </c>
      <c r="Q110">
        <v>1</v>
      </c>
      <c r="R110">
        <v>9.2999999999999989</v>
      </c>
      <c r="S110">
        <v>0.32083732799999998</v>
      </c>
      <c r="T110">
        <v>0.886122144</v>
      </c>
      <c r="U110">
        <v>0.68835733599999993</v>
      </c>
      <c r="V110">
        <v>0.20370623999999998</v>
      </c>
      <c r="W110">
        <v>0.232564624</v>
      </c>
      <c r="X110">
        <v>9.4</v>
      </c>
      <c r="Y110">
        <v>0.13167999999999996</v>
      </c>
      <c r="Z110">
        <v>0.5</v>
      </c>
      <c r="AA110">
        <v>0</v>
      </c>
      <c r="AB110">
        <v>0.15956988799999997</v>
      </c>
      <c r="AC110">
        <v>0</v>
      </c>
      <c r="AD110">
        <v>0</v>
      </c>
      <c r="AE110">
        <v>0</v>
      </c>
      <c r="AG110">
        <f t="array" ref="AG110:AH110">T1T2(T110,S110,V110,X110,Y110)</f>
        <v>3.3720511331650616</v>
      </c>
      <c r="AH110">
        <v>8.4384807293947511E-2</v>
      </c>
      <c r="AJ110">
        <f t="array" ref="AJ110:AM110">Canay(T110,AB110,S110,V110,AG110,AH110)</f>
        <v>0.10419957902920125</v>
      </c>
      <c r="AK110">
        <v>0.21737165448364271</v>
      </c>
      <c r="AL110">
        <v>1.6632453861290772</v>
      </c>
      <c r="AM110">
        <v>5.9951027555126206E-2</v>
      </c>
      <c r="AO110" s="1">
        <f t="array" ref="AO110:AR110">Niipt(T110,AB110,S110,V110,X110,Y110)</f>
        <v>0.10322513736641457</v>
      </c>
      <c r="AP110" s="1">
        <v>0.20727466762762764</v>
      </c>
      <c r="AQ110" s="1">
        <v>1.6227606074054259</v>
      </c>
      <c r="AR110" s="1">
        <v>6.0767441159420316E-2</v>
      </c>
      <c r="AT110" s="1">
        <f t="shared" si="5"/>
        <v>0.93516852166321929</v>
      </c>
      <c r="AU110" s="1">
        <f t="shared" si="6"/>
        <v>4.6450338154714963</v>
      </c>
      <c r="AV110" s="1">
        <f t="shared" si="7"/>
        <v>2.4340833325786515</v>
      </c>
      <c r="AW110" s="1">
        <f t="shared" si="8"/>
        <v>-1.3618008524431056</v>
      </c>
    </row>
    <row r="111" spans="1:49" x14ac:dyDescent="0.25">
      <c r="A111" t="s">
        <v>31</v>
      </c>
      <c r="B111" t="s">
        <v>31</v>
      </c>
      <c r="C111">
        <v>60401029</v>
      </c>
      <c r="D111" t="s">
        <v>143</v>
      </c>
      <c r="E111">
        <v>60401029</v>
      </c>
      <c r="F111" t="s">
        <v>34</v>
      </c>
      <c r="G111">
        <v>0</v>
      </c>
      <c r="H111">
        <v>1</v>
      </c>
      <c r="I111">
        <v>60401029</v>
      </c>
      <c r="J111">
        <v>0</v>
      </c>
      <c r="K111">
        <v>0</v>
      </c>
      <c r="L111">
        <v>0.48</v>
      </c>
      <c r="M111">
        <v>109.60628930169401</v>
      </c>
      <c r="N111">
        <v>250</v>
      </c>
      <c r="O111">
        <v>15.8</v>
      </c>
      <c r="P111">
        <v>0.85</v>
      </c>
      <c r="Q111">
        <v>1</v>
      </c>
      <c r="R111">
        <v>9.2999999999999989</v>
      </c>
      <c r="S111">
        <v>0.32083732799999998</v>
      </c>
      <c r="T111">
        <v>0.886122144</v>
      </c>
      <c r="U111">
        <v>0.68835733599999993</v>
      </c>
      <c r="V111">
        <v>0.20370623999999998</v>
      </c>
      <c r="W111">
        <v>0.232564624</v>
      </c>
      <c r="X111">
        <v>9.4</v>
      </c>
      <c r="Y111">
        <v>0.13167999999999996</v>
      </c>
      <c r="Z111">
        <v>0.5</v>
      </c>
      <c r="AA111">
        <v>0</v>
      </c>
      <c r="AB111">
        <v>0.15956988799999997</v>
      </c>
      <c r="AC111">
        <v>0</v>
      </c>
      <c r="AD111">
        <v>0</v>
      </c>
      <c r="AE111">
        <v>0</v>
      </c>
      <c r="AG111">
        <f t="array" ref="AG111:AH111">T1T2(T111,S111,V111,X111,Y111)</f>
        <v>3.3720511331650616</v>
      </c>
      <c r="AH111">
        <v>8.4384807293947511E-2</v>
      </c>
      <c r="AJ111">
        <f t="array" ref="AJ111:AM111">Canay(T111,AB111,S111,V111,AG111,AH111)</f>
        <v>0.10419957902920125</v>
      </c>
      <c r="AK111">
        <v>0.21737165448364271</v>
      </c>
      <c r="AL111">
        <v>1.6632453861290772</v>
      </c>
      <c r="AM111">
        <v>5.9951027555126206E-2</v>
      </c>
      <c r="AO111" s="1">
        <f t="array" ref="AO111:AR111">Niipt(T111,AB111,S111,V111,X111,Y111)</f>
        <v>0.10322513736641457</v>
      </c>
      <c r="AP111" s="1">
        <v>0.20727466762762764</v>
      </c>
      <c r="AQ111" s="1">
        <v>1.6227606074054259</v>
      </c>
      <c r="AR111" s="1">
        <v>6.0767441159420316E-2</v>
      </c>
      <c r="AT111" s="1">
        <f t="shared" si="5"/>
        <v>0.93516852166321929</v>
      </c>
      <c r="AU111" s="1">
        <f t="shared" si="6"/>
        <v>4.6450338154714963</v>
      </c>
      <c r="AV111" s="1">
        <f t="shared" si="7"/>
        <v>2.4340833325786515</v>
      </c>
      <c r="AW111" s="1">
        <f t="shared" si="8"/>
        <v>-1.3618008524431056</v>
      </c>
    </row>
    <row r="112" spans="1:49" x14ac:dyDescent="0.25">
      <c r="A112" t="s">
        <v>31</v>
      </c>
      <c r="B112" t="s">
        <v>31</v>
      </c>
      <c r="C112">
        <v>60401060</v>
      </c>
      <c r="D112" t="s">
        <v>144</v>
      </c>
      <c r="E112">
        <v>60401060</v>
      </c>
      <c r="F112" t="s">
        <v>34</v>
      </c>
      <c r="G112">
        <v>0</v>
      </c>
      <c r="H112">
        <v>1</v>
      </c>
      <c r="I112">
        <v>60401060</v>
      </c>
      <c r="J112">
        <v>0</v>
      </c>
      <c r="K112">
        <v>0</v>
      </c>
      <c r="L112">
        <v>55.96</v>
      </c>
      <c r="M112">
        <v>110.183907478989</v>
      </c>
      <c r="N112">
        <v>250</v>
      </c>
      <c r="O112">
        <v>15.8</v>
      </c>
      <c r="P112">
        <v>0.85</v>
      </c>
      <c r="Q112">
        <v>1</v>
      </c>
      <c r="R112">
        <v>9.2999999999999989</v>
      </c>
      <c r="S112">
        <v>0.32083732799999998</v>
      </c>
      <c r="T112">
        <v>0.886122144</v>
      </c>
      <c r="U112">
        <v>0.68835733599999993</v>
      </c>
      <c r="V112">
        <v>0.20370623999999998</v>
      </c>
      <c r="W112">
        <v>0.232564624</v>
      </c>
      <c r="X112">
        <v>9.4</v>
      </c>
      <c r="Y112">
        <v>0.13167999999999996</v>
      </c>
      <c r="Z112">
        <v>0.5</v>
      </c>
      <c r="AA112">
        <v>0</v>
      </c>
      <c r="AB112">
        <v>0.15956988799999997</v>
      </c>
      <c r="AC112">
        <v>0</v>
      </c>
      <c r="AD112">
        <v>0</v>
      </c>
      <c r="AE112">
        <v>0</v>
      </c>
      <c r="AG112">
        <f t="array" ref="AG112:AH112">T1T2(T112,S112,V112,X112,Y112)</f>
        <v>3.3720511331650616</v>
      </c>
      <c r="AH112">
        <v>8.4384807293947511E-2</v>
      </c>
      <c r="AJ112">
        <f t="array" ref="AJ112:AM112">Canay(T112,AB112,S112,V112,AG112,AH112)</f>
        <v>0.10419957902920125</v>
      </c>
      <c r="AK112">
        <v>0.21737165448364271</v>
      </c>
      <c r="AL112">
        <v>1.6632453861290772</v>
      </c>
      <c r="AM112">
        <v>5.9951027555126206E-2</v>
      </c>
      <c r="AO112" s="1">
        <f t="array" ref="AO112:AR112">Niipt(T112,AB112,S112,V112,X112,Y112)</f>
        <v>0.10322513736641457</v>
      </c>
      <c r="AP112" s="1">
        <v>0.20727466762762764</v>
      </c>
      <c r="AQ112" s="1">
        <v>1.6227606074054259</v>
      </c>
      <c r="AR112" s="1">
        <v>6.0767441159420316E-2</v>
      </c>
      <c r="AT112" s="1">
        <f t="shared" si="5"/>
        <v>0.93516852166321929</v>
      </c>
      <c r="AU112" s="1">
        <f t="shared" si="6"/>
        <v>4.6450338154714963</v>
      </c>
      <c r="AV112" s="1">
        <f t="shared" si="7"/>
        <v>2.4340833325786515</v>
      </c>
      <c r="AW112" s="1">
        <f t="shared" si="8"/>
        <v>-1.3618008524431056</v>
      </c>
    </row>
    <row r="113" spans="1:49" x14ac:dyDescent="0.25">
      <c r="A113" t="s">
        <v>31</v>
      </c>
      <c r="B113" t="s">
        <v>31</v>
      </c>
      <c r="C113">
        <v>60401058</v>
      </c>
      <c r="D113" t="s">
        <v>145</v>
      </c>
      <c r="E113">
        <v>60401058</v>
      </c>
      <c r="F113" t="s">
        <v>34</v>
      </c>
      <c r="G113">
        <v>0</v>
      </c>
      <c r="H113">
        <v>1</v>
      </c>
      <c r="I113">
        <v>60401058</v>
      </c>
      <c r="J113">
        <v>0</v>
      </c>
      <c r="K113">
        <v>0</v>
      </c>
      <c r="L113">
        <v>39.31</v>
      </c>
      <c r="M113">
        <v>110.50169174990501</v>
      </c>
      <c r="N113">
        <v>250</v>
      </c>
      <c r="O113">
        <v>15.8</v>
      </c>
      <c r="P113">
        <v>0.85</v>
      </c>
      <c r="Q113">
        <v>1</v>
      </c>
      <c r="R113">
        <v>9.2999999999999989</v>
      </c>
      <c r="S113">
        <v>0.32083732799999998</v>
      </c>
      <c r="T113">
        <v>0.886122144</v>
      </c>
      <c r="U113">
        <v>0.68835733599999993</v>
      </c>
      <c r="V113">
        <v>0.20370623999999998</v>
      </c>
      <c r="W113">
        <v>0.232564624</v>
      </c>
      <c r="X113">
        <v>9.4</v>
      </c>
      <c r="Y113">
        <v>0.13167999999999996</v>
      </c>
      <c r="Z113">
        <v>0.5</v>
      </c>
      <c r="AA113">
        <v>0</v>
      </c>
      <c r="AB113">
        <v>0.15956988799999997</v>
      </c>
      <c r="AC113">
        <v>0</v>
      </c>
      <c r="AD113">
        <v>0</v>
      </c>
      <c r="AE113">
        <v>0</v>
      </c>
      <c r="AG113">
        <f t="array" ref="AG113:AH113">T1T2(T113,S113,V113,X113,Y113)</f>
        <v>3.3720511331650616</v>
      </c>
      <c r="AH113">
        <v>8.4384807293947511E-2</v>
      </c>
      <c r="AJ113">
        <f t="array" ref="AJ113:AM113">Canay(T113,AB113,S113,V113,AG113,AH113)</f>
        <v>0.10419957902920125</v>
      </c>
      <c r="AK113">
        <v>0.21737165448364271</v>
      </c>
      <c r="AL113">
        <v>1.6632453861290772</v>
      </c>
      <c r="AM113">
        <v>5.9951027555126206E-2</v>
      </c>
      <c r="AO113" s="1">
        <f t="array" ref="AO113:AR113">Niipt(T113,AB113,S113,V113,X113,Y113)</f>
        <v>0.10322513736641457</v>
      </c>
      <c r="AP113" s="1">
        <v>0.20727466762762764</v>
      </c>
      <c r="AQ113" s="1">
        <v>1.6227606074054259</v>
      </c>
      <c r="AR113" s="1">
        <v>6.0767441159420316E-2</v>
      </c>
      <c r="AT113" s="1">
        <f t="shared" si="5"/>
        <v>0.93516852166321929</v>
      </c>
      <c r="AU113" s="1">
        <f t="shared" si="6"/>
        <v>4.6450338154714963</v>
      </c>
      <c r="AV113" s="1">
        <f t="shared" si="7"/>
        <v>2.4340833325786515</v>
      </c>
      <c r="AW113" s="1">
        <f t="shared" si="8"/>
        <v>-1.3618008524431056</v>
      </c>
    </row>
    <row r="114" spans="1:49" x14ac:dyDescent="0.25">
      <c r="A114" t="s">
        <v>31</v>
      </c>
      <c r="B114" t="s">
        <v>31</v>
      </c>
      <c r="C114">
        <v>60401020</v>
      </c>
      <c r="D114" t="s">
        <v>146</v>
      </c>
      <c r="E114">
        <v>60401020</v>
      </c>
      <c r="F114" t="s">
        <v>34</v>
      </c>
      <c r="G114">
        <v>0</v>
      </c>
      <c r="H114">
        <v>1</v>
      </c>
      <c r="I114">
        <v>60401020</v>
      </c>
      <c r="J114">
        <v>0</v>
      </c>
      <c r="K114">
        <v>0</v>
      </c>
      <c r="L114">
        <v>211.7</v>
      </c>
      <c r="M114">
        <v>95.939481880952201</v>
      </c>
      <c r="N114">
        <v>250</v>
      </c>
      <c r="O114">
        <v>15.8</v>
      </c>
      <c r="P114">
        <v>0.85</v>
      </c>
      <c r="Q114">
        <v>1</v>
      </c>
      <c r="R114">
        <v>9.2999999999999989</v>
      </c>
      <c r="S114">
        <v>0.32083732799999998</v>
      </c>
      <c r="T114">
        <v>0.886122144</v>
      </c>
      <c r="U114">
        <v>0.68835733599999993</v>
      </c>
      <c r="V114">
        <v>0.20370623999999998</v>
      </c>
      <c r="W114">
        <v>0.232564624</v>
      </c>
      <c r="X114">
        <v>9.4</v>
      </c>
      <c r="Y114">
        <v>0.13167999999999996</v>
      </c>
      <c r="Z114">
        <v>0.5</v>
      </c>
      <c r="AA114">
        <v>0</v>
      </c>
      <c r="AB114">
        <v>0.15956988799999997</v>
      </c>
      <c r="AC114">
        <v>0</v>
      </c>
      <c r="AD114">
        <v>0</v>
      </c>
      <c r="AE114">
        <v>0</v>
      </c>
      <c r="AG114">
        <f t="array" ref="AG114:AH114">T1T2(T114,S114,V114,X114,Y114)</f>
        <v>3.3720511331650616</v>
      </c>
      <c r="AH114">
        <v>8.4384807293947511E-2</v>
      </c>
      <c r="AJ114">
        <f t="array" ref="AJ114:AM114">Canay(T114,AB114,S114,V114,AG114,AH114)</f>
        <v>0.10419957902920125</v>
      </c>
      <c r="AK114">
        <v>0.21737165448364271</v>
      </c>
      <c r="AL114">
        <v>1.6632453861290772</v>
      </c>
      <c r="AM114">
        <v>5.9951027555126206E-2</v>
      </c>
      <c r="AO114" s="1">
        <f t="array" ref="AO114:AR114">Niipt(T114,AB114,S114,V114,X114,Y114)</f>
        <v>0.10322513736641457</v>
      </c>
      <c r="AP114" s="1">
        <v>0.20727466762762764</v>
      </c>
      <c r="AQ114" s="1">
        <v>1.6227606074054259</v>
      </c>
      <c r="AR114" s="1">
        <v>6.0767441159420316E-2</v>
      </c>
      <c r="AT114" s="1">
        <f t="shared" si="5"/>
        <v>0.93516852166321929</v>
      </c>
      <c r="AU114" s="1">
        <f t="shared" si="6"/>
        <v>4.6450338154714963</v>
      </c>
      <c r="AV114" s="1">
        <f t="shared" si="7"/>
        <v>2.4340833325786515</v>
      </c>
      <c r="AW114" s="1">
        <f t="shared" si="8"/>
        <v>-1.3618008524431056</v>
      </c>
    </row>
    <row r="115" spans="1:49" x14ac:dyDescent="0.25">
      <c r="A115" t="s">
        <v>31</v>
      </c>
      <c r="B115" t="s">
        <v>31</v>
      </c>
      <c r="C115">
        <v>60401019</v>
      </c>
      <c r="D115" t="s">
        <v>147</v>
      </c>
      <c r="E115">
        <v>60401019</v>
      </c>
      <c r="F115" t="s">
        <v>34</v>
      </c>
      <c r="G115">
        <v>0</v>
      </c>
      <c r="H115">
        <v>1</v>
      </c>
      <c r="I115">
        <v>60401019</v>
      </c>
      <c r="J115">
        <v>0</v>
      </c>
      <c r="K115">
        <v>0</v>
      </c>
      <c r="L115">
        <v>238.19</v>
      </c>
      <c r="M115">
        <v>93.543985380365996</v>
      </c>
      <c r="N115">
        <v>250</v>
      </c>
      <c r="O115">
        <v>15.8</v>
      </c>
      <c r="P115">
        <v>0.85</v>
      </c>
      <c r="Q115">
        <v>1</v>
      </c>
      <c r="R115">
        <v>9.2999999999999989</v>
      </c>
      <c r="S115">
        <v>0.32083732799999998</v>
      </c>
      <c r="T115">
        <v>0.886122144</v>
      </c>
      <c r="U115">
        <v>0.68835733599999993</v>
      </c>
      <c r="V115">
        <v>0.20370623999999998</v>
      </c>
      <c r="W115">
        <v>0.232564624</v>
      </c>
      <c r="X115">
        <v>9.4</v>
      </c>
      <c r="Y115">
        <v>0.13167999999999996</v>
      </c>
      <c r="Z115">
        <v>0.5</v>
      </c>
      <c r="AA115">
        <v>0</v>
      </c>
      <c r="AB115">
        <v>0.15956988799999997</v>
      </c>
      <c r="AC115">
        <v>0</v>
      </c>
      <c r="AD115">
        <v>0</v>
      </c>
      <c r="AE115">
        <v>0</v>
      </c>
      <c r="AG115">
        <f t="array" ref="AG115:AH115">T1T2(T115,S115,V115,X115,Y115)</f>
        <v>3.3720511331650616</v>
      </c>
      <c r="AH115">
        <v>8.4384807293947511E-2</v>
      </c>
      <c r="AJ115">
        <f t="array" ref="AJ115:AM115">Canay(T115,AB115,S115,V115,AG115,AH115)</f>
        <v>0.10419957902920125</v>
      </c>
      <c r="AK115">
        <v>0.21737165448364271</v>
      </c>
      <c r="AL115">
        <v>1.6632453861290772</v>
      </c>
      <c r="AM115">
        <v>5.9951027555126206E-2</v>
      </c>
      <c r="AO115" s="1">
        <f t="array" ref="AO115:AR115">Niipt(T115,AB115,S115,V115,X115,Y115)</f>
        <v>0.10322513736641457</v>
      </c>
      <c r="AP115" s="1">
        <v>0.20727466762762764</v>
      </c>
      <c r="AQ115" s="1">
        <v>1.6227606074054259</v>
      </c>
      <c r="AR115" s="1">
        <v>6.0767441159420316E-2</v>
      </c>
      <c r="AT115" s="1">
        <f t="shared" si="5"/>
        <v>0.93516852166321929</v>
      </c>
      <c r="AU115" s="1">
        <f t="shared" si="6"/>
        <v>4.6450338154714963</v>
      </c>
      <c r="AV115" s="1">
        <f t="shared" si="7"/>
        <v>2.4340833325786515</v>
      </c>
      <c r="AW115" s="1">
        <f t="shared" si="8"/>
        <v>-1.3618008524431056</v>
      </c>
    </row>
    <row r="116" spans="1:49" x14ac:dyDescent="0.25">
      <c r="A116" t="s">
        <v>31</v>
      </c>
      <c r="B116" t="s">
        <v>31</v>
      </c>
      <c r="C116">
        <v>60401018</v>
      </c>
      <c r="D116" t="s">
        <v>148</v>
      </c>
      <c r="E116">
        <v>60401018</v>
      </c>
      <c r="F116" t="s">
        <v>34</v>
      </c>
      <c r="G116">
        <v>0</v>
      </c>
      <c r="H116">
        <v>1</v>
      </c>
      <c r="I116">
        <v>60401018</v>
      </c>
      <c r="J116">
        <v>0</v>
      </c>
      <c r="K116">
        <v>0</v>
      </c>
      <c r="L116">
        <v>237.69</v>
      </c>
      <c r="M116">
        <v>90.214715599801096</v>
      </c>
      <c r="N116">
        <v>250</v>
      </c>
      <c r="O116">
        <v>15.8</v>
      </c>
      <c r="P116">
        <v>0.85</v>
      </c>
      <c r="Q116">
        <v>1</v>
      </c>
      <c r="R116">
        <v>9.2999999999999989</v>
      </c>
      <c r="S116">
        <v>0.32083732799999998</v>
      </c>
      <c r="T116">
        <v>0.886122144</v>
      </c>
      <c r="U116">
        <v>0.68835733599999993</v>
      </c>
      <c r="V116">
        <v>0.20370623999999998</v>
      </c>
      <c r="W116">
        <v>0.232564624</v>
      </c>
      <c r="X116">
        <v>9.4</v>
      </c>
      <c r="Y116">
        <v>0.13167999999999996</v>
      </c>
      <c r="Z116">
        <v>0.5</v>
      </c>
      <c r="AA116">
        <v>0</v>
      </c>
      <c r="AB116">
        <v>0.15956988799999997</v>
      </c>
      <c r="AC116">
        <v>0</v>
      </c>
      <c r="AD116">
        <v>0</v>
      </c>
      <c r="AE116">
        <v>0</v>
      </c>
      <c r="AG116">
        <f t="array" ref="AG116:AH116">T1T2(T116,S116,V116,X116,Y116)</f>
        <v>3.3720511331650616</v>
      </c>
      <c r="AH116">
        <v>8.4384807293947511E-2</v>
      </c>
      <c r="AJ116">
        <f t="array" ref="AJ116:AM116">Canay(T116,AB116,S116,V116,AG116,AH116)</f>
        <v>0.10419957902920125</v>
      </c>
      <c r="AK116">
        <v>0.21737165448364271</v>
      </c>
      <c r="AL116">
        <v>1.6632453861290772</v>
      </c>
      <c r="AM116">
        <v>5.9951027555126206E-2</v>
      </c>
      <c r="AO116" s="1">
        <f t="array" ref="AO116:AR116">Niipt(T116,AB116,S116,V116,X116,Y116)</f>
        <v>0.10322513736641457</v>
      </c>
      <c r="AP116" s="1">
        <v>0.20727466762762764</v>
      </c>
      <c r="AQ116" s="1">
        <v>1.6227606074054259</v>
      </c>
      <c r="AR116" s="1">
        <v>6.0767441159420316E-2</v>
      </c>
      <c r="AT116" s="1">
        <f t="shared" si="5"/>
        <v>0.93516852166321929</v>
      </c>
      <c r="AU116" s="1">
        <f t="shared" si="6"/>
        <v>4.6450338154714963</v>
      </c>
      <c r="AV116" s="1">
        <f t="shared" si="7"/>
        <v>2.4340833325786515</v>
      </c>
      <c r="AW116" s="1">
        <f t="shared" si="8"/>
        <v>-1.3618008524431056</v>
      </c>
    </row>
    <row r="117" spans="1:49" x14ac:dyDescent="0.25">
      <c r="A117" t="s">
        <v>31</v>
      </c>
      <c r="B117" t="s">
        <v>31</v>
      </c>
      <c r="C117">
        <v>60401016</v>
      </c>
      <c r="D117" t="s">
        <v>149</v>
      </c>
      <c r="E117">
        <v>60401016</v>
      </c>
      <c r="F117" t="s">
        <v>34</v>
      </c>
      <c r="G117">
        <v>0</v>
      </c>
      <c r="H117">
        <v>1</v>
      </c>
      <c r="I117">
        <v>60401016</v>
      </c>
      <c r="J117">
        <v>0</v>
      </c>
      <c r="K117">
        <v>0</v>
      </c>
      <c r="L117">
        <v>0</v>
      </c>
      <c r="M117">
        <v>110.193204096153</v>
      </c>
      <c r="N117">
        <v>250</v>
      </c>
      <c r="O117">
        <v>15.8</v>
      </c>
      <c r="P117">
        <v>0.85</v>
      </c>
      <c r="Q117">
        <v>1</v>
      </c>
      <c r="R117">
        <v>9.2999999999999989</v>
      </c>
      <c r="S117">
        <v>0.32083732799999998</v>
      </c>
      <c r="T117">
        <v>0.886122144</v>
      </c>
      <c r="U117">
        <v>0.68835733599999993</v>
      </c>
      <c r="V117">
        <v>0.20370623999999998</v>
      </c>
      <c r="W117">
        <v>0.232564624</v>
      </c>
      <c r="X117">
        <v>9.4</v>
      </c>
      <c r="Y117">
        <v>0.13167999999999996</v>
      </c>
      <c r="Z117">
        <v>0.5</v>
      </c>
      <c r="AA117">
        <v>0</v>
      </c>
      <c r="AB117">
        <v>0.15956988799999997</v>
      </c>
      <c r="AC117">
        <v>0</v>
      </c>
      <c r="AD117">
        <v>0</v>
      </c>
      <c r="AE117">
        <v>0</v>
      </c>
      <c r="AG117">
        <f t="array" ref="AG117:AH117">T1T2(T117,S117,V117,X117,Y117)</f>
        <v>3.3720511331650616</v>
      </c>
      <c r="AH117">
        <v>8.4384807293947511E-2</v>
      </c>
      <c r="AJ117">
        <f t="array" ref="AJ117:AM117">Canay(T117,AB117,S117,V117,AG117,AH117)</f>
        <v>0.10419957902920125</v>
      </c>
      <c r="AK117">
        <v>0.21737165448364271</v>
      </c>
      <c r="AL117">
        <v>1.6632453861290772</v>
      </c>
      <c r="AM117">
        <v>5.9951027555126206E-2</v>
      </c>
      <c r="AO117" s="1">
        <f t="array" ref="AO117:AR117">Niipt(T117,AB117,S117,V117,X117,Y117)</f>
        <v>0.10322513736641457</v>
      </c>
      <c r="AP117" s="1">
        <v>0.20727466762762764</v>
      </c>
      <c r="AQ117" s="1">
        <v>1.6227606074054259</v>
      </c>
      <c r="AR117" s="1">
        <v>6.0767441159420316E-2</v>
      </c>
      <c r="AT117" s="1">
        <f t="shared" si="5"/>
        <v>0.93516852166321929</v>
      </c>
      <c r="AU117" s="1">
        <f t="shared" si="6"/>
        <v>4.6450338154714963</v>
      </c>
      <c r="AV117" s="1">
        <f t="shared" si="7"/>
        <v>2.4340833325786515</v>
      </c>
      <c r="AW117" s="1">
        <f t="shared" si="8"/>
        <v>-1.3618008524431056</v>
      </c>
    </row>
    <row r="118" spans="1:49" x14ac:dyDescent="0.25">
      <c r="A118" t="s">
        <v>31</v>
      </c>
      <c r="B118" t="s">
        <v>31</v>
      </c>
      <c r="C118">
        <v>60401015</v>
      </c>
      <c r="D118" t="s">
        <v>150</v>
      </c>
      <c r="E118">
        <v>60401015</v>
      </c>
      <c r="F118" t="s">
        <v>34</v>
      </c>
      <c r="G118">
        <v>0</v>
      </c>
      <c r="H118">
        <v>1</v>
      </c>
      <c r="I118">
        <v>60401015</v>
      </c>
      <c r="J118">
        <v>0</v>
      </c>
      <c r="K118">
        <v>0</v>
      </c>
      <c r="L118">
        <v>2.12</v>
      </c>
      <c r="M118">
        <v>139.51268707777197</v>
      </c>
      <c r="N118">
        <v>250</v>
      </c>
      <c r="O118">
        <v>15.8</v>
      </c>
      <c r="P118">
        <v>0.85</v>
      </c>
      <c r="Q118">
        <v>1</v>
      </c>
      <c r="R118">
        <v>9.2999999999999989</v>
      </c>
      <c r="S118">
        <v>0.32083732799999998</v>
      </c>
      <c r="T118">
        <v>0.886122144</v>
      </c>
      <c r="U118">
        <v>0.68835733599999993</v>
      </c>
      <c r="V118">
        <v>0.20370623999999998</v>
      </c>
      <c r="W118">
        <v>0.232564624</v>
      </c>
      <c r="X118">
        <v>9.4</v>
      </c>
      <c r="Y118">
        <v>0.13167999999999996</v>
      </c>
      <c r="Z118">
        <v>0.5</v>
      </c>
      <c r="AA118">
        <v>0</v>
      </c>
      <c r="AB118">
        <v>0.15956988799999997</v>
      </c>
      <c r="AC118">
        <v>0</v>
      </c>
      <c r="AD118">
        <v>0</v>
      </c>
      <c r="AE118">
        <v>0</v>
      </c>
      <c r="AG118">
        <f t="array" ref="AG118:AH118">T1T2(T118,S118,V118,X118,Y118)</f>
        <v>3.3720511331650616</v>
      </c>
      <c r="AH118">
        <v>8.4384807293947511E-2</v>
      </c>
      <c r="AJ118">
        <f t="array" ref="AJ118:AM118">Canay(T118,AB118,S118,V118,AG118,AH118)</f>
        <v>0.10419957902920125</v>
      </c>
      <c r="AK118">
        <v>0.21737165448364271</v>
      </c>
      <c r="AL118">
        <v>1.6632453861290772</v>
      </c>
      <c r="AM118">
        <v>5.9951027555126206E-2</v>
      </c>
      <c r="AO118" s="1">
        <f t="array" ref="AO118:AR118">Niipt(T118,AB118,S118,V118,X118,Y118)</f>
        <v>0.10322513736641457</v>
      </c>
      <c r="AP118" s="1">
        <v>0.20727466762762764</v>
      </c>
      <c r="AQ118" s="1">
        <v>1.6227606074054259</v>
      </c>
      <c r="AR118" s="1">
        <v>6.0767441159420316E-2</v>
      </c>
      <c r="AT118" s="1">
        <f t="shared" si="5"/>
        <v>0.93516852166321929</v>
      </c>
      <c r="AU118" s="1">
        <f t="shared" si="6"/>
        <v>4.6450338154714963</v>
      </c>
      <c r="AV118" s="1">
        <f t="shared" si="7"/>
        <v>2.4340833325786515</v>
      </c>
      <c r="AW118" s="1">
        <f t="shared" si="8"/>
        <v>-1.3618008524431056</v>
      </c>
    </row>
    <row r="119" spans="1:49" x14ac:dyDescent="0.25">
      <c r="A119" t="s">
        <v>31</v>
      </c>
      <c r="B119" t="s">
        <v>31</v>
      </c>
      <c r="C119">
        <v>60401014</v>
      </c>
      <c r="D119" t="s">
        <v>151</v>
      </c>
      <c r="E119">
        <v>60401014</v>
      </c>
      <c r="F119" t="s">
        <v>34</v>
      </c>
      <c r="G119">
        <v>0</v>
      </c>
      <c r="H119">
        <v>1</v>
      </c>
      <c r="I119">
        <v>60401014</v>
      </c>
      <c r="J119">
        <v>0</v>
      </c>
      <c r="K119">
        <v>0</v>
      </c>
      <c r="L119">
        <v>29.87</v>
      </c>
      <c r="M119">
        <v>133.03679979361598</v>
      </c>
      <c r="N119">
        <v>250</v>
      </c>
      <c r="O119">
        <v>15.8</v>
      </c>
      <c r="P119">
        <v>0.85</v>
      </c>
      <c r="Q119">
        <v>1</v>
      </c>
      <c r="R119">
        <v>9.2999999999999989</v>
      </c>
      <c r="S119">
        <v>0.32083732799999998</v>
      </c>
      <c r="T119">
        <v>0.886122144</v>
      </c>
      <c r="U119">
        <v>0.68835733599999993</v>
      </c>
      <c r="V119">
        <v>0.20370623999999998</v>
      </c>
      <c r="W119">
        <v>0.232564624</v>
      </c>
      <c r="X119">
        <v>9.4</v>
      </c>
      <c r="Y119">
        <v>0.13167999999999996</v>
      </c>
      <c r="Z119">
        <v>0.5</v>
      </c>
      <c r="AA119">
        <v>0</v>
      </c>
      <c r="AB119">
        <v>0.15956988799999997</v>
      </c>
      <c r="AC119">
        <v>0</v>
      </c>
      <c r="AD119">
        <v>0</v>
      </c>
      <c r="AE119">
        <v>0</v>
      </c>
      <c r="AG119">
        <f t="array" ref="AG119:AH119">T1T2(T119,S119,V119,X119,Y119)</f>
        <v>3.3720511331650616</v>
      </c>
      <c r="AH119">
        <v>8.4384807293947511E-2</v>
      </c>
      <c r="AJ119">
        <f t="array" ref="AJ119:AM119">Canay(T119,AB119,S119,V119,AG119,AH119)</f>
        <v>0.10419957902920125</v>
      </c>
      <c r="AK119">
        <v>0.21737165448364271</v>
      </c>
      <c r="AL119">
        <v>1.6632453861290772</v>
      </c>
      <c r="AM119">
        <v>5.9951027555126206E-2</v>
      </c>
      <c r="AO119" s="1">
        <f t="array" ref="AO119:AR119">Niipt(T119,AB119,S119,V119,X119,Y119)</f>
        <v>0.10322513736641457</v>
      </c>
      <c r="AP119" s="1">
        <v>0.20727466762762764</v>
      </c>
      <c r="AQ119" s="1">
        <v>1.6227606074054259</v>
      </c>
      <c r="AR119" s="1">
        <v>6.0767441159420316E-2</v>
      </c>
      <c r="AT119" s="1">
        <f t="shared" si="5"/>
        <v>0.93516852166321929</v>
      </c>
      <c r="AU119" s="1">
        <f t="shared" si="6"/>
        <v>4.6450338154714963</v>
      </c>
      <c r="AV119" s="1">
        <f t="shared" si="7"/>
        <v>2.4340833325786515</v>
      </c>
      <c r="AW119" s="1">
        <f t="shared" si="8"/>
        <v>-1.3618008524431056</v>
      </c>
    </row>
    <row r="120" spans="1:49" x14ac:dyDescent="0.25">
      <c r="A120" t="s">
        <v>31</v>
      </c>
      <c r="B120" t="s">
        <v>32</v>
      </c>
      <c r="C120">
        <v>60401055</v>
      </c>
      <c r="D120" t="s">
        <v>152</v>
      </c>
      <c r="E120">
        <v>60401055</v>
      </c>
      <c r="F120" t="s">
        <v>34</v>
      </c>
      <c r="G120">
        <v>0</v>
      </c>
      <c r="H120">
        <v>1</v>
      </c>
      <c r="I120">
        <v>60401055</v>
      </c>
      <c r="J120">
        <v>0</v>
      </c>
      <c r="K120">
        <v>0</v>
      </c>
      <c r="L120">
        <v>0</v>
      </c>
      <c r="M120">
        <v>0</v>
      </c>
      <c r="N120">
        <v>250</v>
      </c>
      <c r="O120">
        <v>15.8</v>
      </c>
      <c r="P120">
        <v>0.85</v>
      </c>
      <c r="Q120">
        <v>1</v>
      </c>
      <c r="R120">
        <v>9.2999999999999989</v>
      </c>
      <c r="S120">
        <v>0.32083732799999998</v>
      </c>
      <c r="T120">
        <v>0.886122144</v>
      </c>
      <c r="U120">
        <v>0.68835733599999993</v>
      </c>
      <c r="V120">
        <v>0.20370623999999998</v>
      </c>
      <c r="W120">
        <v>0.232564624</v>
      </c>
      <c r="X120">
        <v>9.4</v>
      </c>
      <c r="Y120">
        <v>0.13167999999999996</v>
      </c>
      <c r="Z120">
        <v>0.5</v>
      </c>
      <c r="AA120">
        <v>0</v>
      </c>
      <c r="AB120">
        <v>0.15956988799999997</v>
      </c>
      <c r="AC120">
        <v>0</v>
      </c>
      <c r="AD120">
        <v>0</v>
      </c>
      <c r="AE120">
        <v>0</v>
      </c>
      <c r="AG120">
        <f t="array" ref="AG120:AH120">T1T2(T120,S120,V120,X120,Y120)</f>
        <v>3.3720511331650616</v>
      </c>
      <c r="AH120">
        <v>8.4384807293947511E-2</v>
      </c>
      <c r="AJ120">
        <f t="array" ref="AJ120:AM120">Canay(T120,AB120,S120,V120,AG120,AH120)</f>
        <v>0.10419957902920125</v>
      </c>
      <c r="AK120">
        <v>0.21737165448364271</v>
      </c>
      <c r="AL120">
        <v>1.6632453861290772</v>
      </c>
      <c r="AM120">
        <v>5.9951027555126206E-2</v>
      </c>
      <c r="AO120" s="1">
        <f t="array" ref="AO120:AR120">Niipt(T120,AB120,S120,V120,X120,Y120)</f>
        <v>0.10322513736641457</v>
      </c>
      <c r="AP120" s="1">
        <v>0.20727466762762764</v>
      </c>
      <c r="AQ120" s="1">
        <v>1.6227606074054259</v>
      </c>
      <c r="AR120" s="1">
        <v>6.0767441159420316E-2</v>
      </c>
      <c r="AT120" s="1">
        <f t="shared" si="5"/>
        <v>0.93516852166321929</v>
      </c>
      <c r="AU120" s="1">
        <f t="shared" si="6"/>
        <v>4.6450338154714963</v>
      </c>
      <c r="AV120" s="1">
        <f t="shared" si="7"/>
        <v>2.4340833325786515</v>
      </c>
      <c r="AW120" s="1">
        <f t="shared" si="8"/>
        <v>-1.3618008524431056</v>
      </c>
    </row>
    <row r="121" spans="1:49" x14ac:dyDescent="0.25">
      <c r="A121" t="s">
        <v>31</v>
      </c>
      <c r="B121" t="s">
        <v>32</v>
      </c>
      <c r="C121">
        <v>60401073</v>
      </c>
      <c r="D121" t="s">
        <v>153</v>
      </c>
      <c r="E121">
        <v>60401073</v>
      </c>
      <c r="F121" t="s">
        <v>34</v>
      </c>
      <c r="G121">
        <v>0</v>
      </c>
      <c r="H121">
        <v>1</v>
      </c>
      <c r="I121">
        <v>60401073</v>
      </c>
      <c r="J121">
        <v>0</v>
      </c>
      <c r="K121">
        <v>0</v>
      </c>
      <c r="L121">
        <v>0</v>
      </c>
      <c r="M121">
        <v>0</v>
      </c>
      <c r="N121">
        <v>250</v>
      </c>
      <c r="O121">
        <v>15.8</v>
      </c>
      <c r="P121">
        <v>0.85</v>
      </c>
      <c r="Q121">
        <v>1</v>
      </c>
      <c r="R121">
        <v>9.2999999999999989</v>
      </c>
      <c r="S121">
        <v>0.32083732799999998</v>
      </c>
      <c r="T121">
        <v>0.886122144</v>
      </c>
      <c r="U121">
        <v>0.68835733599999993</v>
      </c>
      <c r="V121">
        <v>0.20370623999999998</v>
      </c>
      <c r="W121">
        <v>0.232564624</v>
      </c>
      <c r="X121">
        <v>9.4</v>
      </c>
      <c r="Y121">
        <v>0.13167999999999996</v>
      </c>
      <c r="Z121">
        <v>0.5</v>
      </c>
      <c r="AA121">
        <v>0</v>
      </c>
      <c r="AB121">
        <v>0.15956988799999997</v>
      </c>
      <c r="AC121">
        <v>0</v>
      </c>
      <c r="AD121">
        <v>0</v>
      </c>
      <c r="AE121">
        <v>0</v>
      </c>
      <c r="AG121">
        <f t="array" ref="AG121:AH121">T1T2(T121,S121,V121,X121,Y121)</f>
        <v>3.3720511331650616</v>
      </c>
      <c r="AH121">
        <v>8.4384807293947511E-2</v>
      </c>
      <c r="AJ121">
        <f t="array" ref="AJ121:AM121">Canay(T121,AB121,S121,V121,AG121,AH121)</f>
        <v>0.10419957902920125</v>
      </c>
      <c r="AK121">
        <v>0.21737165448364271</v>
      </c>
      <c r="AL121">
        <v>1.6632453861290772</v>
      </c>
      <c r="AM121">
        <v>5.9951027555126206E-2</v>
      </c>
      <c r="AO121" s="1">
        <f t="array" ref="AO121:AR121">Niipt(T121,AB121,S121,V121,X121,Y121)</f>
        <v>0.10322513736641457</v>
      </c>
      <c r="AP121" s="1">
        <v>0.20727466762762764</v>
      </c>
      <c r="AQ121" s="1">
        <v>1.6227606074054259</v>
      </c>
      <c r="AR121" s="1">
        <v>6.0767441159420316E-2</v>
      </c>
      <c r="AT121" s="1">
        <f t="shared" si="5"/>
        <v>0.93516852166321929</v>
      </c>
      <c r="AU121" s="1">
        <f t="shared" si="6"/>
        <v>4.6450338154714963</v>
      </c>
      <c r="AV121" s="1">
        <f t="shared" si="7"/>
        <v>2.4340833325786515</v>
      </c>
      <c r="AW121" s="1">
        <f t="shared" si="8"/>
        <v>-1.3618008524431056</v>
      </c>
    </row>
    <row r="122" spans="1:49" x14ac:dyDescent="0.25">
      <c r="A122" t="s">
        <v>31</v>
      </c>
      <c r="B122" t="s">
        <v>32</v>
      </c>
      <c r="C122">
        <v>60401062</v>
      </c>
      <c r="D122" t="s">
        <v>154</v>
      </c>
      <c r="E122">
        <v>60401062</v>
      </c>
      <c r="F122" t="s">
        <v>34</v>
      </c>
      <c r="G122">
        <v>0</v>
      </c>
      <c r="H122">
        <v>1</v>
      </c>
      <c r="I122">
        <v>60401062</v>
      </c>
      <c r="J122">
        <v>0</v>
      </c>
      <c r="K122">
        <v>0</v>
      </c>
      <c r="L122">
        <v>0</v>
      </c>
      <c r="M122">
        <v>0</v>
      </c>
      <c r="N122">
        <v>250</v>
      </c>
      <c r="O122">
        <v>15.8</v>
      </c>
      <c r="P122">
        <v>0.85</v>
      </c>
      <c r="Q122">
        <v>1</v>
      </c>
      <c r="R122">
        <v>9.2999999999999989</v>
      </c>
      <c r="S122">
        <v>0.32083732799999998</v>
      </c>
      <c r="T122">
        <v>0.886122144</v>
      </c>
      <c r="U122">
        <v>0.68835733599999993</v>
      </c>
      <c r="V122">
        <v>0.20370623999999998</v>
      </c>
      <c r="W122">
        <v>0.232564624</v>
      </c>
      <c r="X122">
        <v>9.4</v>
      </c>
      <c r="Y122">
        <v>0.13167999999999996</v>
      </c>
      <c r="Z122">
        <v>0.5</v>
      </c>
      <c r="AA122">
        <v>0</v>
      </c>
      <c r="AB122">
        <v>0.15956988799999997</v>
      </c>
      <c r="AC122">
        <v>0</v>
      </c>
      <c r="AD122">
        <v>0</v>
      </c>
      <c r="AE122">
        <v>0</v>
      </c>
      <c r="AG122">
        <f t="array" ref="AG122:AH122">T1T2(T122,S122,V122,X122,Y122)</f>
        <v>3.3720511331650616</v>
      </c>
      <c r="AH122">
        <v>8.4384807293947511E-2</v>
      </c>
      <c r="AJ122">
        <f t="array" ref="AJ122:AM122">Canay(T122,AB122,S122,V122,AG122,AH122)</f>
        <v>0.10419957902920125</v>
      </c>
      <c r="AK122">
        <v>0.21737165448364271</v>
      </c>
      <c r="AL122">
        <v>1.6632453861290772</v>
      </c>
      <c r="AM122">
        <v>5.9951027555126206E-2</v>
      </c>
      <c r="AO122" s="1">
        <f t="array" ref="AO122:AR122">Niipt(T122,AB122,S122,V122,X122,Y122)</f>
        <v>0.10322513736641457</v>
      </c>
      <c r="AP122" s="1">
        <v>0.20727466762762764</v>
      </c>
      <c r="AQ122" s="1">
        <v>1.6227606074054259</v>
      </c>
      <c r="AR122" s="1">
        <v>6.0767441159420316E-2</v>
      </c>
      <c r="AT122" s="1">
        <f t="shared" si="5"/>
        <v>0.93516852166321929</v>
      </c>
      <c r="AU122" s="1">
        <f t="shared" si="6"/>
        <v>4.6450338154714963</v>
      </c>
      <c r="AV122" s="1">
        <f t="shared" si="7"/>
        <v>2.4340833325786515</v>
      </c>
      <c r="AW122" s="1">
        <f t="shared" si="8"/>
        <v>-1.3618008524431056</v>
      </c>
    </row>
    <row r="123" spans="1:49" x14ac:dyDescent="0.25">
      <c r="A123" t="s">
        <v>31</v>
      </c>
      <c r="B123" t="s">
        <v>32</v>
      </c>
      <c r="C123">
        <v>60401091</v>
      </c>
      <c r="D123" t="s">
        <v>155</v>
      </c>
      <c r="E123">
        <v>60401091</v>
      </c>
      <c r="F123" t="s">
        <v>34</v>
      </c>
      <c r="G123">
        <v>0</v>
      </c>
      <c r="H123">
        <v>1</v>
      </c>
      <c r="I123">
        <v>60401091</v>
      </c>
      <c r="J123">
        <v>0</v>
      </c>
      <c r="K123">
        <v>0</v>
      </c>
      <c r="L123">
        <v>0</v>
      </c>
      <c r="M123">
        <v>0</v>
      </c>
      <c r="N123">
        <v>250</v>
      </c>
      <c r="O123">
        <v>15.8</v>
      </c>
      <c r="P123">
        <v>0.85</v>
      </c>
      <c r="Q123">
        <v>1</v>
      </c>
      <c r="R123">
        <v>9.2999999999999989</v>
      </c>
      <c r="S123">
        <v>0.32083732799999998</v>
      </c>
      <c r="T123">
        <v>0.886122144</v>
      </c>
      <c r="U123">
        <v>0.68835733599999993</v>
      </c>
      <c r="V123">
        <v>0.20370623999999998</v>
      </c>
      <c r="W123">
        <v>0.232564624</v>
      </c>
      <c r="X123">
        <v>9.4</v>
      </c>
      <c r="Y123">
        <v>0.13167999999999996</v>
      </c>
      <c r="Z123">
        <v>0.5</v>
      </c>
      <c r="AA123">
        <v>0</v>
      </c>
      <c r="AB123">
        <v>0.15956988799999997</v>
      </c>
      <c r="AC123">
        <v>0</v>
      </c>
      <c r="AD123">
        <v>0</v>
      </c>
      <c r="AE123">
        <v>0</v>
      </c>
      <c r="AG123">
        <f t="array" ref="AG123:AH123">T1T2(T123,S123,V123,X123,Y123)</f>
        <v>3.3720511331650616</v>
      </c>
      <c r="AH123">
        <v>8.4384807293947511E-2</v>
      </c>
      <c r="AJ123">
        <f t="array" ref="AJ123:AM123">Canay(T123,AB123,S123,V123,AG123,AH123)</f>
        <v>0.10419957902920125</v>
      </c>
      <c r="AK123">
        <v>0.21737165448364271</v>
      </c>
      <c r="AL123">
        <v>1.6632453861290772</v>
      </c>
      <c r="AM123">
        <v>5.9951027555126206E-2</v>
      </c>
      <c r="AO123" s="1">
        <f t="array" ref="AO123:AR123">Niipt(T123,AB123,S123,V123,X123,Y123)</f>
        <v>0.10322513736641457</v>
      </c>
      <c r="AP123" s="1">
        <v>0.20727466762762764</v>
      </c>
      <c r="AQ123" s="1">
        <v>1.6227606074054259</v>
      </c>
      <c r="AR123" s="1">
        <v>6.0767441159420316E-2</v>
      </c>
      <c r="AT123" s="1">
        <f t="shared" si="5"/>
        <v>0.93516852166321929</v>
      </c>
      <c r="AU123" s="1">
        <f t="shared" si="6"/>
        <v>4.6450338154714963</v>
      </c>
      <c r="AV123" s="1">
        <f t="shared" si="7"/>
        <v>2.4340833325786515</v>
      </c>
      <c r="AW123" s="1">
        <f t="shared" si="8"/>
        <v>-1.3618008524431056</v>
      </c>
    </row>
    <row r="124" spans="1:49" x14ac:dyDescent="0.25">
      <c r="A124" t="s">
        <v>31</v>
      </c>
      <c r="B124" t="s">
        <v>31</v>
      </c>
      <c r="C124">
        <v>60401012</v>
      </c>
      <c r="D124" t="s">
        <v>156</v>
      </c>
      <c r="E124">
        <v>60401012</v>
      </c>
      <c r="F124" t="s">
        <v>34</v>
      </c>
      <c r="G124">
        <v>0</v>
      </c>
      <c r="H124">
        <v>1</v>
      </c>
      <c r="I124">
        <v>60401012</v>
      </c>
      <c r="J124">
        <v>0</v>
      </c>
      <c r="K124">
        <v>0</v>
      </c>
      <c r="L124">
        <v>208.18</v>
      </c>
      <c r="M124">
        <v>127.40965745597498</v>
      </c>
      <c r="N124">
        <v>250</v>
      </c>
      <c r="O124">
        <v>15.8</v>
      </c>
      <c r="P124">
        <v>0.85</v>
      </c>
      <c r="Q124">
        <v>1</v>
      </c>
      <c r="R124">
        <v>9.2999999999999989</v>
      </c>
      <c r="S124">
        <v>0.32083732799999998</v>
      </c>
      <c r="T124">
        <v>0.886122144</v>
      </c>
      <c r="U124">
        <v>0.68835733599999993</v>
      </c>
      <c r="V124">
        <v>0.20370623999999998</v>
      </c>
      <c r="W124">
        <v>0.232564624</v>
      </c>
      <c r="X124">
        <v>9.4</v>
      </c>
      <c r="Y124">
        <v>0.13167999999999996</v>
      </c>
      <c r="Z124">
        <v>0.5</v>
      </c>
      <c r="AA124">
        <v>0</v>
      </c>
      <c r="AB124">
        <v>0.15956988799999997</v>
      </c>
      <c r="AC124">
        <v>0</v>
      </c>
      <c r="AD124">
        <v>0</v>
      </c>
      <c r="AE124">
        <v>0</v>
      </c>
      <c r="AG124">
        <f t="array" ref="AG124:AH124">T1T2(T124,S124,V124,X124,Y124)</f>
        <v>3.3720511331650616</v>
      </c>
      <c r="AH124">
        <v>8.4384807293947511E-2</v>
      </c>
      <c r="AJ124">
        <f t="array" ref="AJ124:AM124">Canay(T124,AB124,S124,V124,AG124,AH124)</f>
        <v>0.10419957902920125</v>
      </c>
      <c r="AK124">
        <v>0.21737165448364271</v>
      </c>
      <c r="AL124">
        <v>1.6632453861290772</v>
      </c>
      <c r="AM124">
        <v>5.9951027555126206E-2</v>
      </c>
      <c r="AO124" s="1">
        <f t="array" ref="AO124:AR124">Niipt(T124,AB124,S124,V124,X124,Y124)</f>
        <v>0.10322513736641457</v>
      </c>
      <c r="AP124" s="1">
        <v>0.20727466762762764</v>
      </c>
      <c r="AQ124" s="1">
        <v>1.6227606074054259</v>
      </c>
      <c r="AR124" s="1">
        <v>6.0767441159420316E-2</v>
      </c>
      <c r="AT124" s="1">
        <f t="shared" si="5"/>
        <v>0.93516852166321929</v>
      </c>
      <c r="AU124" s="1">
        <f t="shared" si="6"/>
        <v>4.6450338154714963</v>
      </c>
      <c r="AV124" s="1">
        <f t="shared" si="7"/>
        <v>2.4340833325786515</v>
      </c>
      <c r="AW124" s="1">
        <f t="shared" si="8"/>
        <v>-1.3618008524431056</v>
      </c>
    </row>
    <row r="125" spans="1:49" x14ac:dyDescent="0.25">
      <c r="A125" t="s">
        <v>31</v>
      </c>
      <c r="B125" t="s">
        <v>31</v>
      </c>
      <c r="C125">
        <v>60401013</v>
      </c>
      <c r="D125" t="s">
        <v>157</v>
      </c>
      <c r="E125">
        <v>60401013</v>
      </c>
      <c r="F125" t="s">
        <v>34</v>
      </c>
      <c r="G125">
        <v>0</v>
      </c>
      <c r="H125">
        <v>1</v>
      </c>
      <c r="I125">
        <v>60401013</v>
      </c>
      <c r="J125">
        <v>0</v>
      </c>
      <c r="K125">
        <v>0</v>
      </c>
      <c r="L125">
        <v>216.1</v>
      </c>
      <c r="M125">
        <v>124.708667217355</v>
      </c>
      <c r="N125">
        <v>250</v>
      </c>
      <c r="O125">
        <v>15.8</v>
      </c>
      <c r="P125">
        <v>0.85</v>
      </c>
      <c r="Q125">
        <v>1</v>
      </c>
      <c r="R125">
        <v>9.2999999999999989</v>
      </c>
      <c r="S125">
        <v>0.32083732799999998</v>
      </c>
      <c r="T125">
        <v>0.886122144</v>
      </c>
      <c r="U125">
        <v>0.68835733599999993</v>
      </c>
      <c r="V125">
        <v>0.20370623999999998</v>
      </c>
      <c r="W125">
        <v>0.232564624</v>
      </c>
      <c r="X125">
        <v>9.4</v>
      </c>
      <c r="Y125">
        <v>0.13167999999999996</v>
      </c>
      <c r="Z125">
        <v>0.5</v>
      </c>
      <c r="AA125">
        <v>0</v>
      </c>
      <c r="AB125">
        <v>0.15956988799999997</v>
      </c>
      <c r="AC125">
        <v>0</v>
      </c>
      <c r="AD125">
        <v>0</v>
      </c>
      <c r="AE125">
        <v>0</v>
      </c>
      <c r="AG125">
        <f t="array" ref="AG125:AH125">T1T2(T125,S125,V125,X125,Y125)</f>
        <v>3.3720511331650616</v>
      </c>
      <c r="AH125">
        <v>8.4384807293947511E-2</v>
      </c>
      <c r="AJ125">
        <f t="array" ref="AJ125:AM125">Canay(T125,AB125,S125,V125,AG125,AH125)</f>
        <v>0.10419957902920125</v>
      </c>
      <c r="AK125">
        <v>0.21737165448364271</v>
      </c>
      <c r="AL125">
        <v>1.6632453861290772</v>
      </c>
      <c r="AM125">
        <v>5.9951027555126206E-2</v>
      </c>
      <c r="AO125" s="1">
        <f t="array" ref="AO125:AR125">Niipt(T125,AB125,S125,V125,X125,Y125)</f>
        <v>0.10322513736641457</v>
      </c>
      <c r="AP125" s="1">
        <v>0.20727466762762764</v>
      </c>
      <c r="AQ125" s="1">
        <v>1.6227606074054259</v>
      </c>
      <c r="AR125" s="1">
        <v>6.0767441159420316E-2</v>
      </c>
      <c r="AT125" s="1">
        <f t="shared" si="5"/>
        <v>0.93516852166321929</v>
      </c>
      <c r="AU125" s="1">
        <f t="shared" si="6"/>
        <v>4.6450338154714963</v>
      </c>
      <c r="AV125" s="1">
        <f t="shared" si="7"/>
        <v>2.4340833325786515</v>
      </c>
      <c r="AW125" s="1">
        <f t="shared" si="8"/>
        <v>-1.3618008524431056</v>
      </c>
    </row>
    <row r="126" spans="1:49" x14ac:dyDescent="0.25">
      <c r="A126" t="s">
        <v>31</v>
      </c>
      <c r="B126" t="s">
        <v>31</v>
      </c>
      <c r="C126">
        <v>60401017</v>
      </c>
      <c r="D126" t="s">
        <v>158</v>
      </c>
      <c r="E126">
        <v>60401017</v>
      </c>
      <c r="F126" t="s">
        <v>34</v>
      </c>
      <c r="G126">
        <v>0</v>
      </c>
      <c r="H126">
        <v>1</v>
      </c>
      <c r="I126">
        <v>60401017</v>
      </c>
      <c r="J126">
        <v>0</v>
      </c>
      <c r="K126">
        <v>0</v>
      </c>
      <c r="L126">
        <v>0.18</v>
      </c>
      <c r="M126">
        <v>107.01496136734498</v>
      </c>
      <c r="N126">
        <v>250</v>
      </c>
      <c r="O126">
        <v>15.8</v>
      </c>
      <c r="P126">
        <v>0.85</v>
      </c>
      <c r="Q126">
        <v>1</v>
      </c>
      <c r="R126">
        <v>9.2999999999999989</v>
      </c>
      <c r="S126">
        <v>0.32083732799999998</v>
      </c>
      <c r="T126">
        <v>0.886122144</v>
      </c>
      <c r="U126">
        <v>0.68835733599999993</v>
      </c>
      <c r="V126">
        <v>0.20370623999999998</v>
      </c>
      <c r="W126">
        <v>0.232564624</v>
      </c>
      <c r="X126">
        <v>9.4</v>
      </c>
      <c r="Y126">
        <v>0.13167999999999996</v>
      </c>
      <c r="Z126">
        <v>0.5</v>
      </c>
      <c r="AA126">
        <v>0</v>
      </c>
      <c r="AB126">
        <v>0.15956988799999997</v>
      </c>
      <c r="AC126">
        <v>0</v>
      </c>
      <c r="AD126">
        <v>0</v>
      </c>
      <c r="AE126">
        <v>0</v>
      </c>
      <c r="AG126">
        <f t="array" ref="AG126:AH126">T1T2(T126,S126,V126,X126,Y126)</f>
        <v>3.3720511331650616</v>
      </c>
      <c r="AH126">
        <v>8.4384807293947511E-2</v>
      </c>
      <c r="AJ126">
        <f t="array" ref="AJ126:AM126">Canay(T126,AB126,S126,V126,AG126,AH126)</f>
        <v>0.10419957902920125</v>
      </c>
      <c r="AK126">
        <v>0.21737165448364271</v>
      </c>
      <c r="AL126">
        <v>1.6632453861290772</v>
      </c>
      <c r="AM126">
        <v>5.9951027555126206E-2</v>
      </c>
      <c r="AO126" s="1">
        <f t="array" ref="AO126:AR126">Niipt(T126,AB126,S126,V126,X126,Y126)</f>
        <v>0.10322513736641457</v>
      </c>
      <c r="AP126" s="1">
        <v>0.20727466762762764</v>
      </c>
      <c r="AQ126" s="1">
        <v>1.6227606074054259</v>
      </c>
      <c r="AR126" s="1">
        <v>6.0767441159420316E-2</v>
      </c>
      <c r="AT126" s="1">
        <f t="shared" si="5"/>
        <v>0.93516852166321929</v>
      </c>
      <c r="AU126" s="1">
        <f t="shared" si="6"/>
        <v>4.6450338154714963</v>
      </c>
      <c r="AV126" s="1">
        <f t="shared" si="7"/>
        <v>2.4340833325786515</v>
      </c>
      <c r="AW126" s="1">
        <f t="shared" si="8"/>
        <v>-1.3618008524431056</v>
      </c>
    </row>
    <row r="127" spans="1:49" x14ac:dyDescent="0.25">
      <c r="A127" t="s">
        <v>31</v>
      </c>
      <c r="B127" t="s">
        <v>31</v>
      </c>
      <c r="C127">
        <v>60405015</v>
      </c>
      <c r="D127" t="s">
        <v>159</v>
      </c>
      <c r="E127">
        <v>60405015</v>
      </c>
      <c r="F127" t="s">
        <v>34</v>
      </c>
      <c r="G127">
        <v>0</v>
      </c>
      <c r="H127">
        <v>1</v>
      </c>
      <c r="I127">
        <v>60405015</v>
      </c>
      <c r="J127">
        <v>0</v>
      </c>
      <c r="K127">
        <v>0</v>
      </c>
      <c r="L127">
        <v>12.48</v>
      </c>
      <c r="M127">
        <v>0.23066233721613999</v>
      </c>
      <c r="N127">
        <v>21.5</v>
      </c>
      <c r="O127">
        <v>10.5</v>
      </c>
      <c r="P127">
        <v>0.8</v>
      </c>
      <c r="Q127">
        <v>1</v>
      </c>
      <c r="R127">
        <v>8.35</v>
      </c>
      <c r="S127">
        <v>1.1076279069767401</v>
      </c>
      <c r="T127">
        <v>3.5690232558139501</v>
      </c>
      <c r="U127">
        <v>2.2152558139534895</v>
      </c>
      <c r="V127">
        <v>0.83277209302325594</v>
      </c>
      <c r="W127">
        <v>0.93533023255813985</v>
      </c>
      <c r="X127">
        <v>8.68</v>
      </c>
      <c r="Y127">
        <v>0.2</v>
      </c>
      <c r="Z127">
        <v>0.5</v>
      </c>
      <c r="AA127">
        <v>0</v>
      </c>
      <c r="AB127">
        <v>0.59073488372092986</v>
      </c>
      <c r="AC127">
        <v>0</v>
      </c>
      <c r="AD127">
        <v>0</v>
      </c>
      <c r="AE127">
        <v>0</v>
      </c>
      <c r="AG127">
        <f t="array" ref="AG127:AH127">T1T2(T127,S127,V127,X127,Y127)</f>
        <v>2.6582792827887101</v>
      </c>
      <c r="AH127">
        <v>0.15237927379914926</v>
      </c>
      <c r="AJ127">
        <f t="array" ref="AJ127:AM127">Canay(T127,AB127,S127,V127,AG127,AH127)</f>
        <v>0.44937772763976608</v>
      </c>
      <c r="AK127">
        <v>0.68018486370957743</v>
      </c>
      <c r="AL127">
        <v>4.6132503403358118</v>
      </c>
      <c r="AM127">
        <v>0.4299883754729551</v>
      </c>
      <c r="AO127" s="1">
        <f t="array" ref="AO127:AR127">Niipt(T127,AB127,S127,V127,X127,Y127)</f>
        <v>0.44351655429688897</v>
      </c>
      <c r="AP127" s="1">
        <v>0.62544055813952948</v>
      </c>
      <c r="AQ127" s="1">
        <v>4.5497650849268414</v>
      </c>
      <c r="AR127" s="1">
        <v>0.45517445331482592</v>
      </c>
      <c r="AT127" s="1">
        <f t="shared" si="5"/>
        <v>1.3042865683756351</v>
      </c>
      <c r="AU127" s="1">
        <f t="shared" si="6"/>
        <v>8.0484451346777472</v>
      </c>
      <c r="AV127" s="1">
        <f t="shared" si="7"/>
        <v>1.3761502352016117</v>
      </c>
      <c r="AW127" s="1">
        <f t="shared" si="8"/>
        <v>-5.8573857523864499</v>
      </c>
    </row>
    <row r="128" spans="1:49" x14ac:dyDescent="0.25">
      <c r="A128" t="s">
        <v>31</v>
      </c>
      <c r="B128" t="s">
        <v>31</v>
      </c>
      <c r="C128">
        <v>60405016</v>
      </c>
      <c r="D128" t="s">
        <v>160</v>
      </c>
      <c r="E128">
        <v>60405016</v>
      </c>
      <c r="F128" t="s">
        <v>34</v>
      </c>
      <c r="G128">
        <v>0</v>
      </c>
      <c r="H128">
        <v>1</v>
      </c>
      <c r="I128">
        <v>60405016</v>
      </c>
      <c r="J128">
        <v>0</v>
      </c>
      <c r="K128">
        <v>0</v>
      </c>
      <c r="L128">
        <v>5.9853567551999287</v>
      </c>
      <c r="M128">
        <v>-4.7520784851389699</v>
      </c>
      <c r="N128">
        <v>21.5</v>
      </c>
      <c r="O128">
        <v>10.5</v>
      </c>
      <c r="P128">
        <v>0.8</v>
      </c>
      <c r="Q128">
        <v>1</v>
      </c>
      <c r="R128">
        <v>8.35</v>
      </c>
      <c r="S128">
        <v>1.1076279069767401</v>
      </c>
      <c r="T128">
        <v>3.5690232558139501</v>
      </c>
      <c r="U128">
        <v>2.2152558139534895</v>
      </c>
      <c r="V128">
        <v>0.82046511627907004</v>
      </c>
      <c r="W128">
        <v>0.94353488372092986</v>
      </c>
      <c r="X128">
        <v>8.68</v>
      </c>
      <c r="Y128">
        <v>0.2</v>
      </c>
      <c r="Z128">
        <v>0.5</v>
      </c>
      <c r="AA128">
        <v>0</v>
      </c>
      <c r="AB128">
        <v>0.59073488372092986</v>
      </c>
      <c r="AC128">
        <v>0</v>
      </c>
      <c r="AD128">
        <v>0</v>
      </c>
      <c r="AE128">
        <v>0</v>
      </c>
      <c r="AG128">
        <f t="array" ref="AG128:AH128">T1T2(T128,S128,V128,X128,Y128)</f>
        <v>2.6566660415857819</v>
      </c>
      <c r="AH128">
        <v>0.15021852710245112</v>
      </c>
      <c r="AJ128">
        <f t="array" ref="AJ128:AM128">Canay(T128,AB128,S128,V128,AG128,AH128)</f>
        <v>0.45088968718734423</v>
      </c>
      <c r="AK128">
        <v>0.68257721039039942</v>
      </c>
      <c r="AL128">
        <v>4.4297286126198507</v>
      </c>
      <c r="AM128">
        <v>0.39182917085080909</v>
      </c>
      <c r="AO128" s="1">
        <f t="array" ref="AO128:AR128">Niipt(T128,AB128,S128,V128,X128,Y128)</f>
        <v>0.44498431894827234</v>
      </c>
      <c r="AP128" s="1">
        <v>0.62544055813952948</v>
      </c>
      <c r="AQ128" s="1">
        <v>4.3404110846761998</v>
      </c>
      <c r="AR128" s="1">
        <v>0.41351441860465565</v>
      </c>
      <c r="AT128" s="1">
        <f t="shared" si="5"/>
        <v>1.3097146390527714</v>
      </c>
      <c r="AU128" s="1">
        <f t="shared" si="6"/>
        <v>8.3707236897333104</v>
      </c>
      <c r="AV128" s="1">
        <f t="shared" si="7"/>
        <v>2.0163205413802157</v>
      </c>
      <c r="AW128" s="1">
        <f t="shared" si="8"/>
        <v>-5.5343627700713798</v>
      </c>
    </row>
    <row r="129" spans="1:49" x14ac:dyDescent="0.25">
      <c r="A129" t="s">
        <v>31</v>
      </c>
      <c r="B129" t="s">
        <v>32</v>
      </c>
      <c r="C129">
        <v>60405017</v>
      </c>
      <c r="D129" t="s">
        <v>161</v>
      </c>
      <c r="E129">
        <v>60405017</v>
      </c>
      <c r="F129" t="s">
        <v>34</v>
      </c>
      <c r="G129">
        <v>0</v>
      </c>
      <c r="H129">
        <v>1</v>
      </c>
      <c r="I129">
        <v>60405017</v>
      </c>
      <c r="J129">
        <v>0</v>
      </c>
      <c r="K129">
        <v>0</v>
      </c>
      <c r="L129">
        <v>0</v>
      </c>
      <c r="M129">
        <v>0</v>
      </c>
      <c r="N129">
        <v>21.5</v>
      </c>
      <c r="O129">
        <v>10.5</v>
      </c>
      <c r="P129">
        <v>0.8</v>
      </c>
      <c r="Q129">
        <v>1</v>
      </c>
      <c r="R129">
        <v>8.35</v>
      </c>
      <c r="S129">
        <v>1.1076279069767401</v>
      </c>
      <c r="T129">
        <v>3.5690232558139501</v>
      </c>
      <c r="U129">
        <v>2.2152558139534895</v>
      </c>
      <c r="V129">
        <v>0.82046511627907004</v>
      </c>
      <c r="W129">
        <v>0.94353488372092986</v>
      </c>
      <c r="X129">
        <v>8.68</v>
      </c>
      <c r="Y129">
        <v>0.2</v>
      </c>
      <c r="Z129">
        <v>0.5</v>
      </c>
      <c r="AA129">
        <v>0</v>
      </c>
      <c r="AB129">
        <v>0.59073488372092986</v>
      </c>
      <c r="AC129">
        <v>0</v>
      </c>
      <c r="AD129">
        <v>0</v>
      </c>
      <c r="AE129">
        <v>0</v>
      </c>
      <c r="AG129">
        <f t="array" ref="AG129:AH129">T1T2(T129,S129,V129,X129,Y129)</f>
        <v>2.6566660415857819</v>
      </c>
      <c r="AH129">
        <v>0.15021852710245112</v>
      </c>
      <c r="AJ129">
        <f t="array" ref="AJ129:AM129">Canay(T129,AB129,S129,V129,AG129,AH129)</f>
        <v>0.45088968718734423</v>
      </c>
      <c r="AK129">
        <v>0.68257721039039942</v>
      </c>
      <c r="AL129">
        <v>4.4297286126198507</v>
      </c>
      <c r="AM129">
        <v>0.39182917085080909</v>
      </c>
      <c r="AO129" s="1">
        <f t="array" ref="AO129:AR129">Niipt(T129,AB129,S129,V129,X129,Y129)</f>
        <v>0.44498431894827234</v>
      </c>
      <c r="AP129" s="1">
        <v>0.62544055813952948</v>
      </c>
      <c r="AQ129" s="1">
        <v>4.3404110846761998</v>
      </c>
      <c r="AR129" s="1">
        <v>0.41351441860465565</v>
      </c>
      <c r="AT129" s="1">
        <f t="shared" si="5"/>
        <v>1.3097146390527714</v>
      </c>
      <c r="AU129" s="1">
        <f t="shared" si="6"/>
        <v>8.3707236897333104</v>
      </c>
      <c r="AV129" s="1">
        <f t="shared" si="7"/>
        <v>2.0163205413802157</v>
      </c>
      <c r="AW129" s="1">
        <f t="shared" si="8"/>
        <v>-5.5343627700713798</v>
      </c>
    </row>
    <row r="130" spans="1:49" x14ac:dyDescent="0.25">
      <c r="A130" t="s">
        <v>31</v>
      </c>
      <c r="B130" t="s">
        <v>32</v>
      </c>
      <c r="C130">
        <v>60405018</v>
      </c>
      <c r="D130" t="s">
        <v>162</v>
      </c>
      <c r="E130">
        <v>60405018</v>
      </c>
      <c r="F130" t="s">
        <v>34</v>
      </c>
      <c r="G130">
        <v>0</v>
      </c>
      <c r="H130">
        <v>1</v>
      </c>
      <c r="I130">
        <v>60405018</v>
      </c>
      <c r="J130">
        <v>0</v>
      </c>
      <c r="K130">
        <v>0</v>
      </c>
      <c r="L130">
        <v>0</v>
      </c>
      <c r="M130">
        <v>0</v>
      </c>
      <c r="N130">
        <v>21.5</v>
      </c>
      <c r="O130">
        <v>10.5</v>
      </c>
      <c r="P130">
        <v>0.8</v>
      </c>
      <c r="Q130">
        <v>1</v>
      </c>
      <c r="R130">
        <v>8.35</v>
      </c>
      <c r="S130">
        <v>1.1076279069767401</v>
      </c>
      <c r="T130">
        <v>3.5690232558139501</v>
      </c>
      <c r="U130">
        <v>2.2152558139534895</v>
      </c>
      <c r="V130">
        <v>0.82046511627907004</v>
      </c>
      <c r="W130">
        <v>0.94353488372092986</v>
      </c>
      <c r="X130">
        <v>8.68</v>
      </c>
      <c r="Y130">
        <v>0.2</v>
      </c>
      <c r="Z130">
        <v>0.5</v>
      </c>
      <c r="AA130">
        <v>0</v>
      </c>
      <c r="AB130">
        <v>0.59073488372092986</v>
      </c>
      <c r="AC130">
        <v>0</v>
      </c>
      <c r="AD130">
        <v>0</v>
      </c>
      <c r="AE130">
        <v>0</v>
      </c>
      <c r="AG130">
        <f t="array" ref="AG130:AH130">T1T2(T130,S130,V130,X130,Y130)</f>
        <v>2.6566660415857819</v>
      </c>
      <c r="AH130">
        <v>0.15021852710245112</v>
      </c>
      <c r="AJ130">
        <f t="array" ref="AJ130:AM130">Canay(T130,AB130,S130,V130,AG130,AH130)</f>
        <v>0.45088968718734423</v>
      </c>
      <c r="AK130">
        <v>0.68257721039039942</v>
      </c>
      <c r="AL130">
        <v>4.4297286126198507</v>
      </c>
      <c r="AM130">
        <v>0.39182917085080909</v>
      </c>
      <c r="AO130" s="1">
        <f t="array" ref="AO130:AR130">Niipt(T130,AB130,S130,V130,X130,Y130)</f>
        <v>0.44498431894827234</v>
      </c>
      <c r="AP130" s="1">
        <v>0.62544055813952948</v>
      </c>
      <c r="AQ130" s="1">
        <v>4.3404110846761998</v>
      </c>
      <c r="AR130" s="1">
        <v>0.41351441860465565</v>
      </c>
      <c r="AT130" s="1">
        <f t="shared" si="5"/>
        <v>1.3097146390527714</v>
      </c>
      <c r="AU130" s="1">
        <f t="shared" si="6"/>
        <v>8.3707236897333104</v>
      </c>
      <c r="AV130" s="1">
        <f t="shared" si="7"/>
        <v>2.0163205413802157</v>
      </c>
      <c r="AW130" s="1">
        <f t="shared" si="8"/>
        <v>-5.5343627700713798</v>
      </c>
    </row>
    <row r="131" spans="1:49" x14ac:dyDescent="0.25">
      <c r="A131" t="s">
        <v>31</v>
      </c>
      <c r="B131" t="s">
        <v>32</v>
      </c>
      <c r="C131">
        <v>60401402</v>
      </c>
      <c r="D131" t="s">
        <v>163</v>
      </c>
      <c r="E131">
        <v>60401402</v>
      </c>
      <c r="F131" t="s">
        <v>34</v>
      </c>
      <c r="G131">
        <v>0</v>
      </c>
      <c r="H131">
        <v>1</v>
      </c>
      <c r="I131">
        <v>60401402</v>
      </c>
      <c r="J131">
        <v>0</v>
      </c>
      <c r="K131">
        <v>0</v>
      </c>
      <c r="L131">
        <v>0</v>
      </c>
      <c r="M131">
        <v>0</v>
      </c>
      <c r="N131">
        <v>50</v>
      </c>
      <c r="O131">
        <v>6.3</v>
      </c>
      <c r="P131">
        <v>0.85</v>
      </c>
      <c r="Q131">
        <v>1</v>
      </c>
      <c r="R131">
        <v>4.67</v>
      </c>
      <c r="S131">
        <v>0.2091663</v>
      </c>
      <c r="T131">
        <v>1.1740302</v>
      </c>
      <c r="U131">
        <v>0.97768376999999984</v>
      </c>
      <c r="V131">
        <v>0.14169329999999997</v>
      </c>
      <c r="W131">
        <v>0.14439221999999999</v>
      </c>
      <c r="X131">
        <v>4.9000000000000004</v>
      </c>
      <c r="Y131">
        <v>0.153</v>
      </c>
      <c r="Z131">
        <v>0.5</v>
      </c>
      <c r="AA131">
        <v>0</v>
      </c>
      <c r="AB131">
        <v>0.1147041</v>
      </c>
      <c r="AC131">
        <v>0</v>
      </c>
      <c r="AD131">
        <v>0</v>
      </c>
      <c r="AE131">
        <v>0</v>
      </c>
      <c r="AG131">
        <f t="array" ref="AG131:AH131">T1T2(T131,S131,V131,X131,Y131)</f>
        <v>0.82881186639591009</v>
      </c>
      <c r="AH131">
        <v>0.10916956929708974</v>
      </c>
      <c r="AJ131">
        <f t="array" ref="AJ131:AM131">Canay(T131,AB131,S131,V131,AG131,AH131)</f>
        <v>0.326668473227887</v>
      </c>
      <c r="AK131">
        <v>0.14698649963092189</v>
      </c>
      <c r="AL131">
        <v>0.80387371738869118</v>
      </c>
      <c r="AM131">
        <v>3.4124433825429887E-2</v>
      </c>
      <c r="AO131" s="1">
        <f t="array" ref="AO131:AR131">Niipt(T131,AB131,S131,V131,X131,Y131)</f>
        <v>0.39678322064422689</v>
      </c>
      <c r="AP131" s="1">
        <v>0.10371024755244755</v>
      </c>
      <c r="AQ131" s="1">
        <v>0.51705717639760396</v>
      </c>
      <c r="AR131" s="1">
        <v>3.7784879999999917E-2</v>
      </c>
      <c r="AT131" s="1">
        <f t="shared" ref="AT131:AT194" si="9">IF(AO131&gt;0,(AJ131-AO131)/AJ131*100,0)</f>
        <v>-21.463579488868266</v>
      </c>
      <c r="AU131" s="1">
        <f t="shared" si="6"/>
        <v>29.442331225751712</v>
      </c>
      <c r="AV131" s="1">
        <f t="shared" si="7"/>
        <v>35.679303202346759</v>
      </c>
      <c r="AW131" s="1">
        <f t="shared" si="8"/>
        <v>-10.726760166324654</v>
      </c>
    </row>
    <row r="132" spans="1:49" x14ac:dyDescent="0.25">
      <c r="A132" t="s">
        <v>31</v>
      </c>
      <c r="B132" t="s">
        <v>31</v>
      </c>
      <c r="C132">
        <v>60401404</v>
      </c>
      <c r="D132" t="s">
        <v>164</v>
      </c>
      <c r="E132">
        <v>60401404</v>
      </c>
      <c r="F132" t="s">
        <v>34</v>
      </c>
      <c r="G132">
        <v>0</v>
      </c>
      <c r="H132">
        <v>1</v>
      </c>
      <c r="I132">
        <v>60401404</v>
      </c>
      <c r="J132">
        <v>0</v>
      </c>
      <c r="K132">
        <v>0</v>
      </c>
      <c r="L132">
        <v>30.532645840805799</v>
      </c>
      <c r="M132">
        <v>31.305738434427496</v>
      </c>
      <c r="N132">
        <v>50</v>
      </c>
      <c r="O132">
        <v>6.3</v>
      </c>
      <c r="P132">
        <v>0.8</v>
      </c>
      <c r="Q132">
        <v>1</v>
      </c>
      <c r="R132">
        <v>5.13</v>
      </c>
      <c r="S132">
        <v>0.17463599999999999</v>
      </c>
      <c r="T132">
        <v>1.2161016</v>
      </c>
      <c r="U132">
        <v>1.09417392</v>
      </c>
      <c r="V132">
        <v>0.1143072</v>
      </c>
      <c r="W132">
        <v>0.12573792</v>
      </c>
      <c r="X132">
        <v>6.09</v>
      </c>
      <c r="Y132">
        <v>0.16700000000000001</v>
      </c>
      <c r="Z132">
        <v>0.5</v>
      </c>
      <c r="AA132">
        <v>0</v>
      </c>
      <c r="AB132">
        <v>0.11303712</v>
      </c>
      <c r="AC132">
        <v>0</v>
      </c>
      <c r="AD132">
        <v>0</v>
      </c>
      <c r="AE132">
        <v>0</v>
      </c>
      <c r="AG132">
        <f t="array" ref="AG132:AH132">T1T2(T132,S132,V132,X132,Y132)</f>
        <v>0.82028222086366909</v>
      </c>
      <c r="AH132">
        <v>0.11653977948922185</v>
      </c>
      <c r="AJ132">
        <f t="array" ref="AJ132:AM132">Canay(T132,AB132,S132,V132,AG132,AH132)</f>
        <v>0.33663252086676571</v>
      </c>
      <c r="AK132">
        <v>0.13082235129741857</v>
      </c>
      <c r="AL132">
        <v>0.42612320409344207</v>
      </c>
      <c r="AM132">
        <v>1.2840243026295533E-3</v>
      </c>
      <c r="AO132" s="1">
        <f t="array" ref="AO132:AR132">Niipt(T132,AB132,S132,V132,X132,Y132)</f>
        <v>0</v>
      </c>
      <c r="AP132" s="1">
        <v>0</v>
      </c>
      <c r="AQ132" s="1">
        <v>0</v>
      </c>
      <c r="AR132" s="1">
        <v>0</v>
      </c>
      <c r="AT132" s="1">
        <f t="shared" si="9"/>
        <v>0</v>
      </c>
      <c r="AU132" s="1">
        <f t="shared" si="6"/>
        <v>0</v>
      </c>
      <c r="AV132" s="1">
        <f t="shared" si="7"/>
        <v>0</v>
      </c>
      <c r="AW132" s="1">
        <f t="shared" si="8"/>
        <v>0</v>
      </c>
    </row>
    <row r="133" spans="1:49" x14ac:dyDescent="0.25">
      <c r="A133" t="s">
        <v>31</v>
      </c>
      <c r="B133" t="s">
        <v>31</v>
      </c>
      <c r="C133">
        <v>60401405</v>
      </c>
      <c r="D133" t="s">
        <v>165</v>
      </c>
      <c r="E133">
        <v>60401405</v>
      </c>
      <c r="F133" t="s">
        <v>34</v>
      </c>
      <c r="G133">
        <v>0</v>
      </c>
      <c r="H133">
        <v>1</v>
      </c>
      <c r="I133">
        <v>60401405</v>
      </c>
      <c r="J133">
        <v>0</v>
      </c>
      <c r="K133">
        <v>0</v>
      </c>
      <c r="L133">
        <v>35.880000000000003</v>
      </c>
      <c r="M133">
        <v>28.346123206118197</v>
      </c>
      <c r="N133">
        <v>50</v>
      </c>
      <c r="O133">
        <v>6.3</v>
      </c>
      <c r="P133">
        <v>0.8</v>
      </c>
      <c r="Q133">
        <v>1</v>
      </c>
      <c r="R133">
        <v>5.13</v>
      </c>
      <c r="S133">
        <v>0.17463599999999999</v>
      </c>
      <c r="T133">
        <v>1.2161016</v>
      </c>
      <c r="U133">
        <v>1.09417392</v>
      </c>
      <c r="V133">
        <v>0.1143072</v>
      </c>
      <c r="W133">
        <v>0.12573792</v>
      </c>
      <c r="X133">
        <v>6.09</v>
      </c>
      <c r="Y133">
        <v>0.16700000000000001</v>
      </c>
      <c r="Z133">
        <v>0.5</v>
      </c>
      <c r="AA133">
        <v>0</v>
      </c>
      <c r="AB133">
        <v>0.11303712</v>
      </c>
      <c r="AC133">
        <v>0</v>
      </c>
      <c r="AD133">
        <v>0</v>
      </c>
      <c r="AE133">
        <v>0</v>
      </c>
      <c r="AG133">
        <f t="array" ref="AG133:AH133">T1T2(T133,S133,V133,X133,Y133)</f>
        <v>0.82028222086366909</v>
      </c>
      <c r="AH133">
        <v>0.11653977948922185</v>
      </c>
      <c r="AJ133">
        <f t="array" ref="AJ133:AM133">Canay(T133,AB133,S133,V133,AG133,AH133)</f>
        <v>0.33663252086676571</v>
      </c>
      <c r="AK133">
        <v>0.13082235129741857</v>
      </c>
      <c r="AL133">
        <v>0.42612320409344207</v>
      </c>
      <c r="AM133">
        <v>1.2840243026295533E-3</v>
      </c>
      <c r="AO133" s="1">
        <f t="array" ref="AO133:AR133">Niipt(T133,AB133,S133,V133,X133,Y133)</f>
        <v>0</v>
      </c>
      <c r="AP133" s="1">
        <v>0</v>
      </c>
      <c r="AQ133" s="1">
        <v>0</v>
      </c>
      <c r="AR133" s="1">
        <v>0</v>
      </c>
      <c r="AT133" s="1">
        <f t="shared" si="9"/>
        <v>0</v>
      </c>
      <c r="AU133" s="1">
        <f t="shared" si="6"/>
        <v>0</v>
      </c>
      <c r="AV133" s="1">
        <f t="shared" si="7"/>
        <v>0</v>
      </c>
      <c r="AW133" s="1">
        <f t="shared" si="8"/>
        <v>0</v>
      </c>
    </row>
    <row r="134" spans="1:49" x14ac:dyDescent="0.25">
      <c r="A134" t="s">
        <v>31</v>
      </c>
      <c r="B134" t="s">
        <v>31</v>
      </c>
      <c r="C134">
        <v>60401403</v>
      </c>
      <c r="D134" t="s">
        <v>166</v>
      </c>
      <c r="E134">
        <v>60401403</v>
      </c>
      <c r="F134" t="s">
        <v>34</v>
      </c>
      <c r="G134">
        <v>0</v>
      </c>
      <c r="H134">
        <v>1</v>
      </c>
      <c r="I134">
        <v>60401403</v>
      </c>
      <c r="J134">
        <v>0</v>
      </c>
      <c r="K134">
        <v>0</v>
      </c>
      <c r="L134">
        <v>32.269999999999996</v>
      </c>
      <c r="M134">
        <v>28.139004366803697</v>
      </c>
      <c r="N134">
        <v>60</v>
      </c>
      <c r="O134">
        <v>6.3</v>
      </c>
      <c r="P134">
        <v>0.85</v>
      </c>
      <c r="Q134">
        <v>1</v>
      </c>
      <c r="R134">
        <v>7.84</v>
      </c>
      <c r="S134">
        <v>0.17430524999999997</v>
      </c>
      <c r="T134">
        <v>0.97835850000000002</v>
      </c>
      <c r="U134">
        <v>0.81473647500000002</v>
      </c>
      <c r="V134">
        <v>0.11807775</v>
      </c>
      <c r="W134">
        <v>0.12032685</v>
      </c>
      <c r="X134">
        <v>4.9000000000000004</v>
      </c>
      <c r="Y134">
        <v>0.153</v>
      </c>
      <c r="Z134">
        <v>0.5</v>
      </c>
      <c r="AA134">
        <v>0</v>
      </c>
      <c r="AB134">
        <v>9.5586749999999984E-2</v>
      </c>
      <c r="AC134">
        <v>0</v>
      </c>
      <c r="AD134">
        <v>0</v>
      </c>
      <c r="AE134">
        <v>0</v>
      </c>
      <c r="AG134">
        <f t="array" ref="AG134:AH134">T1T2(T134,S134,V134,X134,Y134)</f>
        <v>0.82881186639591053</v>
      </c>
      <c r="AH134">
        <v>0.10916956929708969</v>
      </c>
      <c r="AJ134">
        <f t="array" ref="AJ134:AM134">Canay(T134,AB134,S134,V134,AG134,AH134)</f>
        <v>0.27222372768990577</v>
      </c>
      <c r="AK134">
        <v>0.12248874969243499</v>
      </c>
      <c r="AL134">
        <v>0.6698947644905775</v>
      </c>
      <c r="AM134">
        <v>2.8437028187858336E-2</v>
      </c>
      <c r="AO134" s="1">
        <f t="array" ref="AO134:AR134">Niipt(T134,AB134,S134,V134,X134,Y134)</f>
        <v>0.33065268387018837</v>
      </c>
      <c r="AP134" s="1">
        <v>8.6425206293706258E-2</v>
      </c>
      <c r="AQ134" s="1">
        <v>0.43088098033133815</v>
      </c>
      <c r="AR134" s="1">
        <v>3.148740000000002E-2</v>
      </c>
      <c r="AT134" s="1">
        <f t="shared" si="9"/>
        <v>-21.463579488868039</v>
      </c>
      <c r="AU134" s="1">
        <f t="shared" si="6"/>
        <v>29.44233122575179</v>
      </c>
      <c r="AV134" s="1">
        <f t="shared" si="7"/>
        <v>35.679303202346681</v>
      </c>
      <c r="AW134" s="1">
        <f t="shared" si="8"/>
        <v>-10.72676016632459</v>
      </c>
    </row>
    <row r="135" spans="1:49" x14ac:dyDescent="0.25">
      <c r="A135" t="s">
        <v>31</v>
      </c>
      <c r="B135" t="s">
        <v>32</v>
      </c>
      <c r="C135">
        <v>60401401</v>
      </c>
      <c r="D135" t="s">
        <v>167</v>
      </c>
      <c r="E135">
        <v>60401401</v>
      </c>
      <c r="F135" t="s">
        <v>34</v>
      </c>
      <c r="G135">
        <v>0</v>
      </c>
      <c r="H135">
        <v>1</v>
      </c>
      <c r="I135">
        <v>60401401</v>
      </c>
      <c r="J135">
        <v>0</v>
      </c>
      <c r="K135">
        <v>0</v>
      </c>
      <c r="L135">
        <v>0</v>
      </c>
      <c r="M135">
        <v>0</v>
      </c>
      <c r="N135">
        <v>60</v>
      </c>
      <c r="O135">
        <v>6.3</v>
      </c>
      <c r="P135">
        <v>0.8</v>
      </c>
      <c r="Q135">
        <v>1</v>
      </c>
      <c r="R135">
        <v>10.25</v>
      </c>
      <c r="S135">
        <v>0.1280664</v>
      </c>
      <c r="T135">
        <v>1.1626524</v>
      </c>
      <c r="U135">
        <v>0.95255999999999985</v>
      </c>
      <c r="V135">
        <v>8.3084400000000003E-2</v>
      </c>
      <c r="W135">
        <v>9.1022399999999989E-2</v>
      </c>
      <c r="X135">
        <v>11.7</v>
      </c>
      <c r="Y135">
        <v>0.27399999999999997</v>
      </c>
      <c r="Z135">
        <v>0.5</v>
      </c>
      <c r="AA135">
        <v>0</v>
      </c>
      <c r="AB135">
        <v>7.9379999999999992E-2</v>
      </c>
      <c r="AC135">
        <v>0</v>
      </c>
      <c r="AD135">
        <v>0</v>
      </c>
      <c r="AE135">
        <v>0</v>
      </c>
      <c r="AG135">
        <f t="array" ref="AG135:AH135">T1T2(T135,S135,V135,X135,Y135)</f>
        <v>1.1939183727025351</v>
      </c>
      <c r="AH135">
        <v>0.19188073997876237</v>
      </c>
      <c r="AJ135">
        <f t="array" ref="AJ135:AM135">Canay(T135,AB135,S135,V135,AG135,AH135)</f>
        <v>0.17600839510698876</v>
      </c>
      <c r="AK135">
        <v>0.10408781191984227</v>
      </c>
      <c r="AL135">
        <v>0.20794493566817601</v>
      </c>
      <c r="AM135">
        <v>3.8547700290631512E-3</v>
      </c>
      <c r="AO135" s="1">
        <f t="array" ref="AO135:AR135">Niipt(T135,AB135,S135,V135,X135,Y135)</f>
        <v>0</v>
      </c>
      <c r="AP135" s="1">
        <v>0</v>
      </c>
      <c r="AQ135" s="1">
        <v>0</v>
      </c>
      <c r="AR135" s="1">
        <v>0</v>
      </c>
      <c r="AT135" s="1">
        <f t="shared" si="9"/>
        <v>0</v>
      </c>
      <c r="AU135" s="1">
        <f t="shared" si="6"/>
        <v>0</v>
      </c>
      <c r="AV135" s="1">
        <f t="shared" si="7"/>
        <v>0</v>
      </c>
      <c r="AW135" s="1">
        <f t="shared" si="8"/>
        <v>0</v>
      </c>
    </row>
    <row r="136" spans="1:49" x14ac:dyDescent="0.25">
      <c r="A136" t="s">
        <v>31</v>
      </c>
      <c r="B136" t="s">
        <v>31</v>
      </c>
      <c r="C136">
        <v>60602010</v>
      </c>
      <c r="D136" t="s">
        <v>168</v>
      </c>
      <c r="E136">
        <v>60602005</v>
      </c>
      <c r="F136" t="s">
        <v>34</v>
      </c>
      <c r="G136">
        <v>0</v>
      </c>
      <c r="H136">
        <v>1</v>
      </c>
      <c r="I136">
        <v>60602010</v>
      </c>
      <c r="J136">
        <v>0</v>
      </c>
      <c r="K136">
        <v>0</v>
      </c>
      <c r="L136">
        <v>196.88000489999999</v>
      </c>
      <c r="M136">
        <v>68.731538401538586</v>
      </c>
      <c r="N136">
        <v>200</v>
      </c>
      <c r="O136">
        <v>15.75</v>
      </c>
      <c r="P136">
        <v>0.85</v>
      </c>
      <c r="Q136">
        <v>1</v>
      </c>
      <c r="R136">
        <v>7.1229999999999993</v>
      </c>
      <c r="S136">
        <v>0.28676024999999994</v>
      </c>
      <c r="T136">
        <v>2.2202834062500001</v>
      </c>
      <c r="U136">
        <v>1.9820193749999997</v>
      </c>
      <c r="V136">
        <v>0.18976781249999997</v>
      </c>
      <c r="W136">
        <v>0.29519437500000001</v>
      </c>
      <c r="X136">
        <v>7</v>
      </c>
      <c r="Y136">
        <v>0.2</v>
      </c>
      <c r="Z136">
        <v>0.5</v>
      </c>
      <c r="AA136">
        <v>0</v>
      </c>
      <c r="AB136">
        <v>0.17922515624999999</v>
      </c>
      <c r="AC136">
        <v>0</v>
      </c>
      <c r="AD136">
        <v>0</v>
      </c>
      <c r="AE136">
        <v>0</v>
      </c>
      <c r="AG136">
        <f t="array" ref="AG136:AH136">T1T2(T136,S136,V136,X136,Y136)</f>
        <v>0.83855095298181848</v>
      </c>
      <c r="AH136">
        <v>0.1426963015576157</v>
      </c>
      <c r="AJ136">
        <f t="array" ref="AJ136:AM136">Canay(T136,AB136,S136,V136,AG136,AH136)</f>
        <v>0.57011307969880842</v>
      </c>
      <c r="AK136">
        <v>0.23823535077485106</v>
      </c>
      <c r="AL136">
        <v>0.64088950828982683</v>
      </c>
      <c r="AM136">
        <v>1.1090743068653553E-2</v>
      </c>
      <c r="AO136" s="1">
        <f t="array" ref="AO136:AR136">Niipt(T136,AB136,S136,V136,X136,Y136)</f>
        <v>0</v>
      </c>
      <c r="AP136" s="1">
        <v>0</v>
      </c>
      <c r="AQ136" s="1">
        <v>0</v>
      </c>
      <c r="AR136" s="1">
        <v>0</v>
      </c>
      <c r="AT136" s="1">
        <f t="shared" si="9"/>
        <v>0</v>
      </c>
      <c r="AU136" s="1">
        <f t="shared" si="6"/>
        <v>0</v>
      </c>
      <c r="AV136" s="1">
        <f t="shared" si="7"/>
        <v>0</v>
      </c>
      <c r="AW136" s="1">
        <f t="shared" si="8"/>
        <v>0</v>
      </c>
    </row>
    <row r="137" spans="1:49" x14ac:dyDescent="0.25">
      <c r="A137" t="s">
        <v>31</v>
      </c>
      <c r="B137" t="s">
        <v>31</v>
      </c>
      <c r="C137">
        <v>60602011</v>
      </c>
      <c r="D137" t="s">
        <v>169</v>
      </c>
      <c r="E137">
        <v>60602006</v>
      </c>
      <c r="F137" t="s">
        <v>34</v>
      </c>
      <c r="G137">
        <v>0</v>
      </c>
      <c r="H137">
        <v>1</v>
      </c>
      <c r="I137">
        <v>60602011</v>
      </c>
      <c r="J137">
        <v>0</v>
      </c>
      <c r="K137">
        <v>0</v>
      </c>
      <c r="L137">
        <v>205.2400055</v>
      </c>
      <c r="M137">
        <v>59.061720539738296</v>
      </c>
      <c r="N137">
        <v>200</v>
      </c>
      <c r="O137">
        <v>15.75</v>
      </c>
      <c r="P137">
        <v>0.85</v>
      </c>
      <c r="Q137">
        <v>1</v>
      </c>
      <c r="R137">
        <v>7.1229999999999993</v>
      </c>
      <c r="S137">
        <v>0.28676024999999994</v>
      </c>
      <c r="T137">
        <v>2.2202834062500001</v>
      </c>
      <c r="U137">
        <v>1.9820193749999997</v>
      </c>
      <c r="V137">
        <v>0.18976781249999997</v>
      </c>
      <c r="W137">
        <v>0.29519437500000001</v>
      </c>
      <c r="X137">
        <v>7</v>
      </c>
      <c r="Y137">
        <v>0.2</v>
      </c>
      <c r="Z137">
        <v>0.5</v>
      </c>
      <c r="AA137">
        <v>0</v>
      </c>
      <c r="AB137">
        <v>0.17922515624999999</v>
      </c>
      <c r="AC137">
        <v>0</v>
      </c>
      <c r="AD137">
        <v>0</v>
      </c>
      <c r="AE137">
        <v>0</v>
      </c>
      <c r="AG137">
        <f t="array" ref="AG137:AH137">T1T2(T137,S137,V137,X137,Y137)</f>
        <v>0.83855095298181848</v>
      </c>
      <c r="AH137">
        <v>0.1426963015576157</v>
      </c>
      <c r="AJ137">
        <f t="array" ref="AJ137:AM137">Canay(T137,AB137,S137,V137,AG137,AH137)</f>
        <v>0.57011307969880842</v>
      </c>
      <c r="AK137">
        <v>0.23823535077485106</v>
      </c>
      <c r="AL137">
        <v>0.64088950828982683</v>
      </c>
      <c r="AM137">
        <v>1.1090743068653553E-2</v>
      </c>
      <c r="AO137" s="1">
        <f t="array" ref="AO137:AR137">Niipt(T137,AB137,S137,V137,X137,Y137)</f>
        <v>0</v>
      </c>
      <c r="AP137" s="1">
        <v>0</v>
      </c>
      <c r="AQ137" s="1">
        <v>0</v>
      </c>
      <c r="AR137" s="1">
        <v>0</v>
      </c>
      <c r="AT137" s="1">
        <f t="shared" si="9"/>
        <v>0</v>
      </c>
      <c r="AU137" s="1">
        <f t="shared" si="6"/>
        <v>0</v>
      </c>
      <c r="AV137" s="1">
        <f t="shared" si="7"/>
        <v>0</v>
      </c>
      <c r="AW137" s="1">
        <f t="shared" si="8"/>
        <v>0</v>
      </c>
    </row>
    <row r="138" spans="1:49" x14ac:dyDescent="0.25">
      <c r="A138" t="s">
        <v>31</v>
      </c>
      <c r="B138" t="s">
        <v>32</v>
      </c>
      <c r="C138">
        <v>60602012</v>
      </c>
      <c r="D138" t="s">
        <v>170</v>
      </c>
      <c r="E138">
        <v>60602007</v>
      </c>
      <c r="F138" t="s">
        <v>34</v>
      </c>
      <c r="G138">
        <v>0</v>
      </c>
      <c r="H138">
        <v>1</v>
      </c>
      <c r="I138">
        <v>60602012</v>
      </c>
      <c r="J138">
        <v>0</v>
      </c>
      <c r="K138">
        <v>0</v>
      </c>
      <c r="L138">
        <v>0</v>
      </c>
      <c r="M138">
        <v>0</v>
      </c>
      <c r="N138">
        <v>200</v>
      </c>
      <c r="O138">
        <v>15.75</v>
      </c>
      <c r="P138">
        <v>0.85</v>
      </c>
      <c r="Q138">
        <v>1</v>
      </c>
      <c r="R138">
        <v>7.1229999999999993</v>
      </c>
      <c r="S138">
        <v>0.28676024999999994</v>
      </c>
      <c r="T138">
        <v>2.2202834062500001</v>
      </c>
      <c r="U138">
        <v>1.9820193749999997</v>
      </c>
      <c r="V138">
        <v>0.18976781249999997</v>
      </c>
      <c r="W138">
        <v>0.29519437500000001</v>
      </c>
      <c r="X138">
        <v>7</v>
      </c>
      <c r="Y138">
        <v>0.2</v>
      </c>
      <c r="Z138">
        <v>0.5</v>
      </c>
      <c r="AA138">
        <v>0</v>
      </c>
      <c r="AB138">
        <v>0.17922515624999999</v>
      </c>
      <c r="AC138">
        <v>0</v>
      </c>
      <c r="AD138">
        <v>0</v>
      </c>
      <c r="AE138">
        <v>0</v>
      </c>
      <c r="AG138">
        <f t="array" ref="AG138:AH138">T1T2(T138,S138,V138,X138,Y138)</f>
        <v>0.83855095298181848</v>
      </c>
      <c r="AH138">
        <v>0.1426963015576157</v>
      </c>
      <c r="AJ138">
        <f t="array" ref="AJ138:AM138">Canay(T138,AB138,S138,V138,AG138,AH138)</f>
        <v>0.57011307969880842</v>
      </c>
      <c r="AK138">
        <v>0.23823535077485106</v>
      </c>
      <c r="AL138">
        <v>0.64088950828982683</v>
      </c>
      <c r="AM138">
        <v>1.1090743068653553E-2</v>
      </c>
      <c r="AO138" s="1">
        <f t="array" ref="AO138:AR138">Niipt(T138,AB138,S138,V138,X138,Y138)</f>
        <v>0</v>
      </c>
      <c r="AP138" s="1">
        <v>0</v>
      </c>
      <c r="AQ138" s="1">
        <v>0</v>
      </c>
      <c r="AR138" s="1">
        <v>0</v>
      </c>
      <c r="AT138" s="1">
        <f t="shared" si="9"/>
        <v>0</v>
      </c>
      <c r="AU138" s="1">
        <f t="shared" si="6"/>
        <v>0</v>
      </c>
      <c r="AV138" s="1">
        <f t="shared" si="7"/>
        <v>0</v>
      </c>
      <c r="AW138" s="1">
        <f t="shared" si="8"/>
        <v>0</v>
      </c>
    </row>
    <row r="139" spans="1:49" x14ac:dyDescent="0.25">
      <c r="A139" t="s">
        <v>31</v>
      </c>
      <c r="B139" t="s">
        <v>31</v>
      </c>
      <c r="C139">
        <v>60602014</v>
      </c>
      <c r="D139" t="s">
        <v>171</v>
      </c>
      <c r="E139">
        <v>60602009</v>
      </c>
      <c r="F139" t="s">
        <v>34</v>
      </c>
      <c r="G139">
        <v>0</v>
      </c>
      <c r="H139">
        <v>1</v>
      </c>
      <c r="I139">
        <v>60602014</v>
      </c>
      <c r="J139">
        <v>0</v>
      </c>
      <c r="K139">
        <v>0</v>
      </c>
      <c r="L139">
        <v>88.260002139999983</v>
      </c>
      <c r="M139">
        <v>69.285363876831994</v>
      </c>
      <c r="N139">
        <v>200</v>
      </c>
      <c r="O139">
        <v>15.75</v>
      </c>
      <c r="P139">
        <v>0.85</v>
      </c>
      <c r="Q139">
        <v>1</v>
      </c>
      <c r="R139">
        <v>7.1229999999999993</v>
      </c>
      <c r="S139">
        <v>0.28676024999999994</v>
      </c>
      <c r="T139">
        <v>2.2202834062500001</v>
      </c>
      <c r="U139">
        <v>1.9820193749999997</v>
      </c>
      <c r="V139">
        <v>0.18976781249999997</v>
      </c>
      <c r="W139">
        <v>0.29519437500000001</v>
      </c>
      <c r="X139">
        <v>7</v>
      </c>
      <c r="Y139">
        <v>0.2</v>
      </c>
      <c r="Z139">
        <v>0.5</v>
      </c>
      <c r="AA139">
        <v>0</v>
      </c>
      <c r="AB139">
        <v>0.17922515624999999</v>
      </c>
      <c r="AC139">
        <v>0</v>
      </c>
      <c r="AD139">
        <v>0</v>
      </c>
      <c r="AE139">
        <v>0</v>
      </c>
      <c r="AG139">
        <f t="array" ref="AG139:AH139">T1T2(T139,S139,V139,X139,Y139)</f>
        <v>0.83855095298181848</v>
      </c>
      <c r="AH139">
        <v>0.1426963015576157</v>
      </c>
      <c r="AJ139">
        <f t="array" ref="AJ139:AM139">Canay(T139,AB139,S139,V139,AG139,AH139)</f>
        <v>0.57011307969880842</v>
      </c>
      <c r="AK139">
        <v>0.23823535077485106</v>
      </c>
      <c r="AL139">
        <v>0.64088950828982683</v>
      </c>
      <c r="AM139">
        <v>1.1090743068653553E-2</v>
      </c>
      <c r="AO139" s="1">
        <f t="array" ref="AO139:AR139">Niipt(T139,AB139,S139,V139,X139,Y139)</f>
        <v>0</v>
      </c>
      <c r="AP139" s="1">
        <v>0</v>
      </c>
      <c r="AQ139" s="1">
        <v>0</v>
      </c>
      <c r="AR139" s="1">
        <v>0</v>
      </c>
      <c r="AT139" s="1">
        <f t="shared" si="9"/>
        <v>0</v>
      </c>
      <c r="AU139" s="1">
        <f t="shared" si="6"/>
        <v>0</v>
      </c>
      <c r="AV139" s="1">
        <f t="shared" si="7"/>
        <v>0</v>
      </c>
      <c r="AW139" s="1">
        <f t="shared" si="8"/>
        <v>0</v>
      </c>
    </row>
    <row r="140" spans="1:49" x14ac:dyDescent="0.25">
      <c r="A140" t="s">
        <v>31</v>
      </c>
      <c r="B140" t="s">
        <v>31</v>
      </c>
      <c r="C140">
        <v>60602013</v>
      </c>
      <c r="D140" t="s">
        <v>172</v>
      </c>
      <c r="E140">
        <v>60602008</v>
      </c>
      <c r="F140" t="s">
        <v>34</v>
      </c>
      <c r="G140">
        <v>0</v>
      </c>
      <c r="H140">
        <v>1</v>
      </c>
      <c r="I140">
        <v>60602013</v>
      </c>
      <c r="J140">
        <v>0</v>
      </c>
      <c r="K140">
        <v>0</v>
      </c>
      <c r="L140">
        <v>226.6900024</v>
      </c>
      <c r="M140">
        <v>71.337273824202001</v>
      </c>
      <c r="N140">
        <v>220</v>
      </c>
      <c r="O140">
        <v>15.75</v>
      </c>
      <c r="P140">
        <v>0.85</v>
      </c>
      <c r="Q140">
        <v>1</v>
      </c>
      <c r="R140">
        <v>10.019636363636398</v>
      </c>
      <c r="S140">
        <v>0.25027349184782594</v>
      </c>
      <c r="T140">
        <v>2.0901961956521702</v>
      </c>
      <c r="U140">
        <v>1.9893533967391297</v>
      </c>
      <c r="V140">
        <v>0.16776574728260898</v>
      </c>
      <c r="W140">
        <v>0.23835570652173899</v>
      </c>
      <c r="X140">
        <v>6.38</v>
      </c>
      <c r="Y140">
        <v>0.2</v>
      </c>
      <c r="Z140">
        <v>0.5</v>
      </c>
      <c r="AA140">
        <v>0</v>
      </c>
      <c r="AB140">
        <v>6.14224320652174E-2</v>
      </c>
      <c r="AC140">
        <v>0</v>
      </c>
      <c r="AD140">
        <v>0</v>
      </c>
      <c r="AE140">
        <v>0</v>
      </c>
      <c r="AG140">
        <f t="array" ref="AG140:AH140">T1T2(T140,S140,V140,X140,Y140)</f>
        <v>0.69815912396547553</v>
      </c>
      <c r="AH140">
        <v>0.14669405004975497</v>
      </c>
      <c r="AJ140">
        <f t="array" ref="AJ140:AM140">Canay(T140,AB140,S140,V140,AG140,AH140)</f>
        <v>0.42589414075104726</v>
      </c>
      <c r="AK140">
        <v>0.23402805400076485</v>
      </c>
      <c r="AL140">
        <v>1.7715165462669904</v>
      </c>
      <c r="AM140">
        <v>0.21562852229505561</v>
      </c>
      <c r="AO140" s="1">
        <f t="array" ref="AO140:AR140">Niipt(T140,AB140,S140,V140,X140,Y140)</f>
        <v>0.42057076522636927</v>
      </c>
      <c r="AP140" s="1">
        <v>0.20823487558490916</v>
      </c>
      <c r="AQ140" s="1">
        <v>1.8018641454275934</v>
      </c>
      <c r="AR140" s="1">
        <v>0.24340803260869734</v>
      </c>
      <c r="AT140" s="1">
        <f t="shared" si="9"/>
        <v>1.2499292700506344</v>
      </c>
      <c r="AU140" s="1">
        <f t="shared" si="6"/>
        <v>11.021404474769247</v>
      </c>
      <c r="AV140" s="1">
        <f t="shared" si="7"/>
        <v>-1.713085843005683</v>
      </c>
      <c r="AW140" s="1">
        <f t="shared" si="8"/>
        <v>-12.88304071185425</v>
      </c>
    </row>
    <row r="141" spans="1:49" x14ac:dyDescent="0.25">
      <c r="A141" t="s">
        <v>31</v>
      </c>
      <c r="B141" t="s">
        <v>31</v>
      </c>
      <c r="C141">
        <v>60602015</v>
      </c>
      <c r="D141" t="s">
        <v>173</v>
      </c>
      <c r="E141">
        <v>60602010</v>
      </c>
      <c r="F141" t="s">
        <v>34</v>
      </c>
      <c r="G141">
        <v>0</v>
      </c>
      <c r="H141">
        <v>1</v>
      </c>
      <c r="I141">
        <v>60602015</v>
      </c>
      <c r="J141">
        <v>0</v>
      </c>
      <c r="K141">
        <v>0</v>
      </c>
      <c r="L141">
        <v>103.6600037</v>
      </c>
      <c r="M141">
        <v>59.927047909141393</v>
      </c>
      <c r="N141">
        <v>220</v>
      </c>
      <c r="O141">
        <v>15.75</v>
      </c>
      <c r="P141">
        <v>0.85</v>
      </c>
      <c r="Q141">
        <v>1</v>
      </c>
      <c r="R141">
        <v>10.019636363636398</v>
      </c>
      <c r="S141">
        <v>0.25027349184782594</v>
      </c>
      <c r="T141">
        <v>2.0901961956521702</v>
      </c>
      <c r="U141">
        <v>1.9893533967391297</v>
      </c>
      <c r="V141">
        <v>0.16776574728260898</v>
      </c>
      <c r="W141">
        <v>0.23835570652173899</v>
      </c>
      <c r="X141">
        <v>6.38</v>
      </c>
      <c r="Y141">
        <v>0.2</v>
      </c>
      <c r="Z141">
        <v>0.5</v>
      </c>
      <c r="AA141">
        <v>0</v>
      </c>
      <c r="AB141">
        <v>6.14224320652174E-2</v>
      </c>
      <c r="AC141">
        <v>0</v>
      </c>
      <c r="AD141">
        <v>0</v>
      </c>
      <c r="AE141">
        <v>0</v>
      </c>
      <c r="AG141">
        <f t="array" ref="AG141:AH141">T1T2(T141,S141,V141,X141,Y141)</f>
        <v>0.69815912396547553</v>
      </c>
      <c r="AH141">
        <v>0.14669405004975497</v>
      </c>
      <c r="AJ141">
        <f t="array" ref="AJ141:AM141">Canay(T141,AB141,S141,V141,AG141,AH141)</f>
        <v>0.42589414075104726</v>
      </c>
      <c r="AK141">
        <v>0.23402805400076485</v>
      </c>
      <c r="AL141">
        <v>1.7715165462669904</v>
      </c>
      <c r="AM141">
        <v>0.21562852229505561</v>
      </c>
      <c r="AO141" s="1">
        <f t="array" ref="AO141:AR141">Niipt(T141,AB141,S141,V141,X141,Y141)</f>
        <v>0.42057076522636927</v>
      </c>
      <c r="AP141" s="1">
        <v>0.20823487558490916</v>
      </c>
      <c r="AQ141" s="1">
        <v>1.8018641454275934</v>
      </c>
      <c r="AR141" s="1">
        <v>0.24340803260869734</v>
      </c>
      <c r="AT141" s="1">
        <f t="shared" si="9"/>
        <v>1.2499292700506344</v>
      </c>
      <c r="AU141" s="1">
        <f t="shared" si="6"/>
        <v>11.021404474769247</v>
      </c>
      <c r="AV141" s="1">
        <f t="shared" si="7"/>
        <v>-1.713085843005683</v>
      </c>
      <c r="AW141" s="1">
        <f t="shared" si="8"/>
        <v>-12.88304071185425</v>
      </c>
    </row>
    <row r="142" spans="1:49" x14ac:dyDescent="0.25">
      <c r="A142" t="s">
        <v>31</v>
      </c>
      <c r="B142" t="s">
        <v>31</v>
      </c>
      <c r="C142">
        <v>60606044</v>
      </c>
      <c r="D142" t="s">
        <v>174</v>
      </c>
      <c r="E142">
        <v>60606007</v>
      </c>
      <c r="F142" t="s">
        <v>34</v>
      </c>
      <c r="G142">
        <v>0</v>
      </c>
      <c r="H142">
        <v>1</v>
      </c>
      <c r="I142">
        <v>60606044</v>
      </c>
      <c r="J142">
        <v>0</v>
      </c>
      <c r="K142">
        <v>0</v>
      </c>
      <c r="L142">
        <v>34.469997409999998</v>
      </c>
      <c r="M142">
        <v>10.880536183818299</v>
      </c>
      <c r="N142">
        <v>63</v>
      </c>
      <c r="O142">
        <v>6.3</v>
      </c>
      <c r="P142">
        <v>0.8</v>
      </c>
      <c r="Q142">
        <v>1</v>
      </c>
      <c r="R142">
        <v>4.2469999999999999</v>
      </c>
      <c r="S142">
        <v>0.1386</v>
      </c>
      <c r="T142">
        <v>0.96516000000000002</v>
      </c>
      <c r="U142">
        <v>0.86839199999999994</v>
      </c>
      <c r="V142">
        <v>9.0719999999999981E-2</v>
      </c>
      <c r="W142">
        <v>9.9792000000000006E-2</v>
      </c>
      <c r="X142">
        <v>6.09</v>
      </c>
      <c r="Y142">
        <v>0.2</v>
      </c>
      <c r="Z142">
        <v>0.5</v>
      </c>
      <c r="AA142">
        <v>0</v>
      </c>
      <c r="AB142">
        <v>8.9712E-2</v>
      </c>
      <c r="AC142">
        <v>0</v>
      </c>
      <c r="AD142">
        <v>0</v>
      </c>
      <c r="AE142">
        <v>0</v>
      </c>
      <c r="AG142">
        <f t="array" ref="AG142:AH142">T1T2(T142,S142,V142,X142,Y142)</f>
        <v>0.80815374412649732</v>
      </c>
      <c r="AH142">
        <v>0.14166319282530479</v>
      </c>
      <c r="AJ142">
        <f t="array" ref="AJ142:AM142">Canay(T142,AB142,S142,V142,AG142,AH142)</f>
        <v>0.30567115066679768</v>
      </c>
      <c r="AK142">
        <v>0.12198252645619154</v>
      </c>
      <c r="AL142">
        <v>0.28955724965573348</v>
      </c>
      <c r="AM142">
        <v>1.0175804066821581E-3</v>
      </c>
      <c r="AO142" s="1">
        <f t="array" ref="AO142:AR142">Niipt(T142,AB142,S142,V142,X142,Y142)</f>
        <v>0</v>
      </c>
      <c r="AP142" s="1">
        <v>0</v>
      </c>
      <c r="AQ142" s="1">
        <v>0</v>
      </c>
      <c r="AR142" s="1">
        <v>0</v>
      </c>
      <c r="AT142" s="1">
        <f t="shared" si="9"/>
        <v>0</v>
      </c>
      <c r="AU142" s="1">
        <f t="shared" si="6"/>
        <v>0</v>
      </c>
      <c r="AV142" s="1">
        <f t="shared" si="7"/>
        <v>0</v>
      </c>
      <c r="AW142" s="1">
        <f t="shared" si="8"/>
        <v>0</v>
      </c>
    </row>
    <row r="143" spans="1:49" x14ac:dyDescent="0.25">
      <c r="A143" t="s">
        <v>31</v>
      </c>
      <c r="B143" t="s">
        <v>31</v>
      </c>
      <c r="C143">
        <v>60606039</v>
      </c>
      <c r="D143" t="s">
        <v>175</v>
      </c>
      <c r="E143">
        <v>60606011</v>
      </c>
      <c r="F143" t="s">
        <v>34</v>
      </c>
      <c r="G143">
        <v>0</v>
      </c>
      <c r="H143">
        <v>1</v>
      </c>
      <c r="I143">
        <v>60606039</v>
      </c>
      <c r="J143">
        <v>0</v>
      </c>
      <c r="K143">
        <v>0</v>
      </c>
      <c r="L143">
        <v>30.109998699999995</v>
      </c>
      <c r="M143">
        <v>8.4998291060835598</v>
      </c>
      <c r="N143">
        <v>32</v>
      </c>
      <c r="O143">
        <v>10.5</v>
      </c>
      <c r="P143">
        <v>0.8</v>
      </c>
      <c r="Q143">
        <v>1</v>
      </c>
      <c r="R143">
        <v>10.096</v>
      </c>
      <c r="S143">
        <v>0.64496249999999988</v>
      </c>
      <c r="T143">
        <v>5.766074999999999</v>
      </c>
      <c r="U143">
        <v>5.766074999999999</v>
      </c>
      <c r="V143">
        <v>0.37485000000000002</v>
      </c>
      <c r="W143">
        <v>0.37485000000000002</v>
      </c>
      <c r="X143">
        <v>11.58</v>
      </c>
      <c r="Y143">
        <v>0.2</v>
      </c>
      <c r="Z143">
        <v>0.5</v>
      </c>
      <c r="AA143">
        <v>0</v>
      </c>
      <c r="AB143">
        <v>0.28940624999999998</v>
      </c>
      <c r="AC143">
        <v>0</v>
      </c>
      <c r="AD143">
        <v>0</v>
      </c>
      <c r="AE143">
        <v>0</v>
      </c>
      <c r="AG143">
        <f t="array" ref="AG143:AH143">T1T2(T143,S143,V143,X143,Y143)</f>
        <v>1.2144451813994916</v>
      </c>
      <c r="AH143">
        <v>0.12397607055255659</v>
      </c>
      <c r="AJ143">
        <f t="array" ref="AJ143:AM143">Canay(T143,AB143,S143,V143,AG143,AH143)</f>
        <v>0.64699414914035303</v>
      </c>
      <c r="AK143">
        <v>0.47726778879614312</v>
      </c>
      <c r="AL143">
        <v>2.1659244531131638</v>
      </c>
      <c r="AM143">
        <v>0.10609231231515898</v>
      </c>
      <c r="AO143" s="1">
        <f t="array" ref="AO143:AR143">Niipt(T143,AB143,S143,V143,X143,Y143)</f>
        <v>0.68563652215233339</v>
      </c>
      <c r="AP143" s="1">
        <v>0.3802423405543594</v>
      </c>
      <c r="AQ143" s="1">
        <v>1.7262674620722323</v>
      </c>
      <c r="AR143" s="1">
        <v>0.11247187500000007</v>
      </c>
      <c r="AT143" s="1">
        <f t="shared" si="9"/>
        <v>-5.9726000711634937</v>
      </c>
      <c r="AU143" s="1">
        <f t="shared" si="6"/>
        <v>20.329351889956794</v>
      </c>
      <c r="AV143" s="1">
        <f t="shared" si="7"/>
        <v>20.298814688988632</v>
      </c>
      <c r="AW143" s="1">
        <f t="shared" si="8"/>
        <v>-6.0132186259546252</v>
      </c>
    </row>
    <row r="144" spans="1:49" x14ac:dyDescent="0.25">
      <c r="A144" t="s">
        <v>31</v>
      </c>
      <c r="B144" t="s">
        <v>32</v>
      </c>
      <c r="C144">
        <v>60606043</v>
      </c>
      <c r="D144" t="s">
        <v>176</v>
      </c>
      <c r="E144">
        <v>60606014</v>
      </c>
      <c r="F144" t="s">
        <v>34</v>
      </c>
      <c r="G144">
        <v>0</v>
      </c>
      <c r="H144">
        <v>1</v>
      </c>
      <c r="I144">
        <v>60606043</v>
      </c>
      <c r="J144">
        <v>0</v>
      </c>
      <c r="K144">
        <v>0</v>
      </c>
      <c r="L144">
        <v>0</v>
      </c>
      <c r="M144">
        <v>0</v>
      </c>
      <c r="N144">
        <v>70</v>
      </c>
      <c r="O144">
        <v>6.3</v>
      </c>
      <c r="P144">
        <v>0.85</v>
      </c>
      <c r="Q144">
        <v>1</v>
      </c>
      <c r="R144">
        <v>3.5229999999999997</v>
      </c>
      <c r="S144">
        <v>0.13494599999999998</v>
      </c>
      <c r="T144">
        <v>0.7759395</v>
      </c>
      <c r="U144">
        <v>0.69834554999999987</v>
      </c>
      <c r="V144">
        <v>9.3980249999999987E-2</v>
      </c>
      <c r="W144">
        <v>0.1031373</v>
      </c>
      <c r="X144">
        <v>4.9000000000000004</v>
      </c>
      <c r="Y144">
        <v>0.2</v>
      </c>
      <c r="Z144">
        <v>0.5</v>
      </c>
      <c r="AA144">
        <v>0</v>
      </c>
      <c r="AB144">
        <v>6.7472999999999991E-2</v>
      </c>
      <c r="AC144">
        <v>0</v>
      </c>
      <c r="AD144">
        <v>0</v>
      </c>
      <c r="AE144">
        <v>0</v>
      </c>
      <c r="AG144">
        <f t="array" ref="AG144:AH144">T1T2(T144,S144,V144,X144,Y144)</f>
        <v>0.79602771174406184</v>
      </c>
      <c r="AH144">
        <v>0.14910994984566056</v>
      </c>
      <c r="AJ144">
        <f t="array" ref="AJ144:AM144">Canay(T144,AB144,S144,V144,AG144,AH144)</f>
        <v>0.23198054767338655</v>
      </c>
      <c r="AK144">
        <v>0.10942618649801926</v>
      </c>
      <c r="AL144">
        <v>0.47339269155188712</v>
      </c>
      <c r="AM144">
        <v>3.6797921138084673E-2</v>
      </c>
      <c r="AO144" s="1">
        <f t="array" ref="AO144:AR144">Niipt(T144,AB144,S144,V144,X144,Y144)</f>
        <v>0</v>
      </c>
      <c r="AP144" s="1">
        <v>0</v>
      </c>
      <c r="AQ144" s="1">
        <v>0</v>
      </c>
      <c r="AR144" s="1">
        <v>0</v>
      </c>
      <c r="AT144" s="1">
        <f t="shared" si="9"/>
        <v>0</v>
      </c>
      <c r="AU144" s="1">
        <f t="shared" si="6"/>
        <v>0</v>
      </c>
      <c r="AV144" s="1">
        <f t="shared" si="7"/>
        <v>0</v>
      </c>
      <c r="AW144" s="1">
        <f t="shared" si="8"/>
        <v>0</v>
      </c>
    </row>
    <row r="145" spans="1:49" x14ac:dyDescent="0.25">
      <c r="A145" t="s">
        <v>31</v>
      </c>
      <c r="B145" t="s">
        <v>32</v>
      </c>
      <c r="C145">
        <v>60606042</v>
      </c>
      <c r="D145" t="s">
        <v>177</v>
      </c>
      <c r="E145">
        <v>60606012</v>
      </c>
      <c r="F145" t="s">
        <v>34</v>
      </c>
      <c r="G145">
        <v>0</v>
      </c>
      <c r="H145">
        <v>1</v>
      </c>
      <c r="I145">
        <v>60606042</v>
      </c>
      <c r="J145">
        <v>0</v>
      </c>
      <c r="K145">
        <v>0</v>
      </c>
      <c r="L145">
        <v>0</v>
      </c>
      <c r="M145">
        <v>0</v>
      </c>
      <c r="N145">
        <v>12</v>
      </c>
      <c r="O145">
        <v>10.5</v>
      </c>
      <c r="P145">
        <v>0.8</v>
      </c>
      <c r="Q145">
        <v>1</v>
      </c>
      <c r="R145">
        <v>4.47</v>
      </c>
      <c r="S145">
        <v>1.9403999999999997</v>
      </c>
      <c r="T145">
        <v>17.818605000000002</v>
      </c>
      <c r="U145">
        <v>17.818605000000002</v>
      </c>
      <c r="V145">
        <v>1.10103</v>
      </c>
      <c r="W145">
        <v>1.5927450000000001</v>
      </c>
      <c r="X145">
        <v>5.79</v>
      </c>
      <c r="Y145">
        <v>0.2</v>
      </c>
      <c r="Z145">
        <v>0.5</v>
      </c>
      <c r="AA145">
        <v>0</v>
      </c>
      <c r="AB145">
        <v>0.82760999999999996</v>
      </c>
      <c r="AC145">
        <v>0</v>
      </c>
      <c r="AD145">
        <v>0</v>
      </c>
      <c r="AE145">
        <v>0</v>
      </c>
      <c r="AG145">
        <f t="array" ref="AG145:AH145">T1T2(T145,S145,V145,X145,Y145)</f>
        <v>0.53598369166515936</v>
      </c>
      <c r="AH145">
        <v>0.13350035962816384</v>
      </c>
      <c r="AJ145">
        <f t="array" ref="AJ145:AM145">Canay(T145,AB145,S145,V145,AG145,AH145)</f>
        <v>6.0521945279167957</v>
      </c>
      <c r="AK145">
        <v>2.1686431994692259</v>
      </c>
      <c r="AL145">
        <v>6.128930497475185</v>
      </c>
      <c r="AM145">
        <v>0.31873480991806269</v>
      </c>
      <c r="AO145" s="1">
        <f t="array" ref="AO145:AR145">Niipt(T145,AB145,S145,V145,X145,Y145)</f>
        <v>0</v>
      </c>
      <c r="AP145" s="1">
        <v>0</v>
      </c>
      <c r="AQ145" s="1">
        <v>0</v>
      </c>
      <c r="AR145" s="1">
        <v>0</v>
      </c>
      <c r="AT145" s="1">
        <f t="shared" si="9"/>
        <v>0</v>
      </c>
      <c r="AU145" s="1">
        <f t="shared" si="6"/>
        <v>0</v>
      </c>
      <c r="AV145" s="1">
        <f t="shared" si="7"/>
        <v>0</v>
      </c>
      <c r="AW145" s="1">
        <f t="shared" si="8"/>
        <v>0</v>
      </c>
    </row>
    <row r="146" spans="1:49" x14ac:dyDescent="0.25">
      <c r="A146" t="s">
        <v>31</v>
      </c>
      <c r="B146" t="s">
        <v>32</v>
      </c>
      <c r="C146">
        <v>60606040</v>
      </c>
      <c r="D146" t="s">
        <v>178</v>
      </c>
      <c r="E146">
        <v>60606012</v>
      </c>
      <c r="F146" t="s">
        <v>34</v>
      </c>
      <c r="G146">
        <v>0</v>
      </c>
      <c r="H146">
        <v>1</v>
      </c>
      <c r="I146">
        <v>60606040</v>
      </c>
      <c r="J146">
        <v>0</v>
      </c>
      <c r="K146">
        <v>0</v>
      </c>
      <c r="L146">
        <v>0</v>
      </c>
      <c r="M146">
        <v>0</v>
      </c>
      <c r="N146">
        <v>36</v>
      </c>
      <c r="O146">
        <v>10.5</v>
      </c>
      <c r="P146">
        <v>0.8</v>
      </c>
      <c r="Q146">
        <v>1</v>
      </c>
      <c r="R146">
        <v>5.851</v>
      </c>
      <c r="S146">
        <v>0.46549999999999997</v>
      </c>
      <c r="T146">
        <v>5.5125000000000002</v>
      </c>
      <c r="U146">
        <v>5.2429999999999994</v>
      </c>
      <c r="V146">
        <v>0.29399999999999993</v>
      </c>
      <c r="W146">
        <v>0.41649999999999993</v>
      </c>
      <c r="X146">
        <v>9.85</v>
      </c>
      <c r="Y146">
        <v>0.2</v>
      </c>
      <c r="Z146">
        <v>0.5</v>
      </c>
      <c r="AA146">
        <v>0</v>
      </c>
      <c r="AB146">
        <v>0.1176</v>
      </c>
      <c r="AC146">
        <v>0</v>
      </c>
      <c r="AD146">
        <v>0</v>
      </c>
      <c r="AE146">
        <v>0</v>
      </c>
      <c r="AG146">
        <f t="array" ref="AG146:AH146">T1T2(T146,S146,V146,X146,Y146)</f>
        <v>0.75584139144443341</v>
      </c>
      <c r="AH146">
        <v>0.13900623577372676</v>
      </c>
      <c r="AJ146">
        <f t="array" ref="AJ146:AM146">Canay(T146,AB146,S146,V146,AG146,AH146)</f>
        <v>0.71824348862437792</v>
      </c>
      <c r="AK146">
        <v>0.42032335595015435</v>
      </c>
      <c r="AL146">
        <v>2.9264781668735416</v>
      </c>
      <c r="AM146">
        <v>0.32211790873789214</v>
      </c>
      <c r="AO146" s="1">
        <f t="array" ref="AO146:AR146">Niipt(T146,AB146,S146,V146,X146,Y146)</f>
        <v>0.71575641538719881</v>
      </c>
      <c r="AP146" s="1">
        <v>0.37188145631067954</v>
      </c>
      <c r="AQ146" s="1">
        <v>2.8863351009614324</v>
      </c>
      <c r="AR146" s="1">
        <v>0.35783999999999971</v>
      </c>
      <c r="AT146" s="1">
        <f t="shared" si="9"/>
        <v>0.34627160239802585</v>
      </c>
      <c r="AU146" s="1">
        <f t="shared" ref="AU146:AU209" si="10">IF(AP146&gt;0,(AK146-AP146)/AK146*100,0)</f>
        <v>11.524912654442044</v>
      </c>
      <c r="AV146" s="1">
        <f t="shared" ref="AV146:AV209" si="11">IF(AQ146&gt;0,(AL146-AQ146)/AL146*100,0)</f>
        <v>1.3717193029666568</v>
      </c>
      <c r="AW146" s="1">
        <f t="shared" ref="AW146:AW209" si="12">IF(AR146&gt;0,(AM146-AR146)/AM146*100,0)</f>
        <v>-11.089756357251995</v>
      </c>
    </row>
    <row r="147" spans="1:49" x14ac:dyDescent="0.25">
      <c r="A147" t="s">
        <v>31</v>
      </c>
      <c r="B147" t="s">
        <v>32</v>
      </c>
      <c r="C147">
        <v>60606047</v>
      </c>
      <c r="D147" t="s">
        <v>179</v>
      </c>
      <c r="E147">
        <v>60606010</v>
      </c>
      <c r="F147" t="s">
        <v>34</v>
      </c>
      <c r="G147">
        <v>0</v>
      </c>
      <c r="H147">
        <v>1</v>
      </c>
      <c r="I147">
        <v>60606047</v>
      </c>
      <c r="J147">
        <v>0</v>
      </c>
      <c r="K147">
        <v>0</v>
      </c>
      <c r="L147">
        <v>0</v>
      </c>
      <c r="M147">
        <v>0</v>
      </c>
      <c r="N147">
        <v>110</v>
      </c>
      <c r="O147">
        <v>10.5</v>
      </c>
      <c r="P147">
        <v>0.8</v>
      </c>
      <c r="Q147">
        <v>1</v>
      </c>
      <c r="R147">
        <v>7.21</v>
      </c>
      <c r="S147">
        <v>0.217292727272727</v>
      </c>
      <c r="T147">
        <v>1.63330363636364</v>
      </c>
      <c r="U147">
        <v>1.4721381818181798</v>
      </c>
      <c r="V147">
        <v>0.15154363636363596</v>
      </c>
      <c r="W147">
        <v>0.16677818181818196</v>
      </c>
      <c r="X147">
        <v>6.7</v>
      </c>
      <c r="Y147">
        <v>0.2</v>
      </c>
      <c r="Z147">
        <v>0.5</v>
      </c>
      <c r="AA147">
        <v>0</v>
      </c>
      <c r="AB147">
        <v>0.144327272727273</v>
      </c>
      <c r="AC147">
        <v>0</v>
      </c>
      <c r="AD147">
        <v>0</v>
      </c>
      <c r="AE147">
        <v>0</v>
      </c>
      <c r="AG147">
        <f t="array" ref="AG147:AH147">T1T2(T147,S147,V147,X147,Y147)</f>
        <v>0.83339448144708017</v>
      </c>
      <c r="AH147">
        <v>0.14918492943621767</v>
      </c>
      <c r="AJ147">
        <f t="array" ref="AJ147:AM147">Canay(T147,AB147,S147,V147,AG147,AH147)</f>
        <v>0.46108505383805909</v>
      </c>
      <c r="AK147">
        <v>0.18095401680760873</v>
      </c>
      <c r="AL147">
        <v>0.45650155695603029</v>
      </c>
      <c r="AM147">
        <v>7.5542348776273024E-3</v>
      </c>
      <c r="AO147" s="1">
        <f t="array" ref="AO147:AR147">Niipt(T147,AB147,S147,V147,X147,Y147)</f>
        <v>0</v>
      </c>
      <c r="AP147" s="1">
        <v>0</v>
      </c>
      <c r="AQ147" s="1">
        <v>0</v>
      </c>
      <c r="AR147" s="1">
        <v>0</v>
      </c>
      <c r="AT147" s="1">
        <f t="shared" si="9"/>
        <v>0</v>
      </c>
      <c r="AU147" s="1">
        <f t="shared" si="10"/>
        <v>0</v>
      </c>
      <c r="AV147" s="1">
        <f t="shared" si="11"/>
        <v>0</v>
      </c>
      <c r="AW147" s="1">
        <f t="shared" si="12"/>
        <v>0</v>
      </c>
    </row>
    <row r="148" spans="1:49" x14ac:dyDescent="0.25">
      <c r="A148" t="s">
        <v>31</v>
      </c>
      <c r="B148" t="s">
        <v>31</v>
      </c>
      <c r="C148">
        <v>60606041</v>
      </c>
      <c r="D148" t="s">
        <v>180</v>
      </c>
      <c r="E148">
        <v>60606013</v>
      </c>
      <c r="F148" t="s">
        <v>34</v>
      </c>
      <c r="G148">
        <v>0</v>
      </c>
      <c r="H148">
        <v>1</v>
      </c>
      <c r="I148">
        <v>60606041</v>
      </c>
      <c r="J148">
        <v>0</v>
      </c>
      <c r="K148">
        <v>0</v>
      </c>
      <c r="L148">
        <v>3.9599997999999994</v>
      </c>
      <c r="M148">
        <v>5.0683267097848894</v>
      </c>
      <c r="N148">
        <v>12</v>
      </c>
      <c r="O148">
        <v>10.5</v>
      </c>
      <c r="P148">
        <v>0.8</v>
      </c>
      <c r="Q148">
        <v>1</v>
      </c>
      <c r="R148">
        <v>4.47</v>
      </c>
      <c r="S148">
        <v>1.9403999999999997</v>
      </c>
      <c r="T148">
        <v>17.818605000000002</v>
      </c>
      <c r="U148">
        <v>17.818605000000002</v>
      </c>
      <c r="V148">
        <v>1.10103</v>
      </c>
      <c r="W148">
        <v>1.5927450000000001</v>
      </c>
      <c r="X148">
        <v>5.79</v>
      </c>
      <c r="Y148">
        <v>0.2</v>
      </c>
      <c r="Z148">
        <v>0.5</v>
      </c>
      <c r="AA148">
        <v>0</v>
      </c>
      <c r="AB148">
        <v>0.82760999999999996</v>
      </c>
      <c r="AC148">
        <v>0</v>
      </c>
      <c r="AD148">
        <v>0</v>
      </c>
      <c r="AE148">
        <v>0</v>
      </c>
      <c r="AG148">
        <f t="array" ref="AG148:AH148">T1T2(T148,S148,V148,X148,Y148)</f>
        <v>0.53598369166515936</v>
      </c>
      <c r="AH148">
        <v>0.13350035962816384</v>
      </c>
      <c r="AJ148">
        <f t="array" ref="AJ148:AM148">Canay(T148,AB148,S148,V148,AG148,AH148)</f>
        <v>6.0521945279167957</v>
      </c>
      <c r="AK148">
        <v>2.1686431994692259</v>
      </c>
      <c r="AL148">
        <v>6.128930497475185</v>
      </c>
      <c r="AM148">
        <v>0.31873480991806269</v>
      </c>
      <c r="AO148" s="1">
        <f t="array" ref="AO148:AR148">Niipt(T148,AB148,S148,V148,X148,Y148)</f>
        <v>0</v>
      </c>
      <c r="AP148" s="1">
        <v>0</v>
      </c>
      <c r="AQ148" s="1">
        <v>0</v>
      </c>
      <c r="AR148" s="1">
        <v>0</v>
      </c>
      <c r="AT148" s="1">
        <f t="shared" si="9"/>
        <v>0</v>
      </c>
      <c r="AU148" s="1">
        <f t="shared" si="10"/>
        <v>0</v>
      </c>
      <c r="AV148" s="1">
        <f t="shared" si="11"/>
        <v>0</v>
      </c>
      <c r="AW148" s="1">
        <f t="shared" si="12"/>
        <v>0</v>
      </c>
    </row>
    <row r="149" spans="1:49" x14ac:dyDescent="0.25">
      <c r="A149" t="s">
        <v>31</v>
      </c>
      <c r="B149" t="s">
        <v>31</v>
      </c>
      <c r="C149">
        <v>60606045</v>
      </c>
      <c r="D149" t="s">
        <v>181</v>
      </c>
      <c r="E149">
        <v>60606008</v>
      </c>
      <c r="F149" t="s">
        <v>34</v>
      </c>
      <c r="G149">
        <v>0</v>
      </c>
      <c r="H149">
        <v>1</v>
      </c>
      <c r="I149">
        <v>60606045</v>
      </c>
      <c r="J149">
        <v>0</v>
      </c>
      <c r="K149">
        <v>0</v>
      </c>
      <c r="L149">
        <v>109.6199951</v>
      </c>
      <c r="M149">
        <v>29.8610651362795</v>
      </c>
      <c r="N149">
        <v>100</v>
      </c>
      <c r="O149">
        <v>10.5</v>
      </c>
      <c r="P149">
        <v>0.8</v>
      </c>
      <c r="Q149">
        <v>1</v>
      </c>
      <c r="R149">
        <v>8.041999999999998</v>
      </c>
      <c r="S149">
        <v>0.245196</v>
      </c>
      <c r="T149">
        <v>1.6819740000000001</v>
      </c>
      <c r="U149">
        <v>1.513512</v>
      </c>
      <c r="V149">
        <v>0.16934399999999997</v>
      </c>
      <c r="W149">
        <v>0.18610199999999999</v>
      </c>
      <c r="X149">
        <v>6.45</v>
      </c>
      <c r="Y149">
        <v>0.2</v>
      </c>
      <c r="Z149">
        <v>0.5</v>
      </c>
      <c r="AA149">
        <v>0</v>
      </c>
      <c r="AB149">
        <v>0.15346799999999997</v>
      </c>
      <c r="AC149">
        <v>0</v>
      </c>
      <c r="AD149">
        <v>0</v>
      </c>
      <c r="AE149">
        <v>0</v>
      </c>
      <c r="AG149">
        <f t="array" ref="AG149:AH149">T1T2(T149,S149,V149,X149,Y149)</f>
        <v>0.88200386806303066</v>
      </c>
      <c r="AH149">
        <v>0.14725490036677885</v>
      </c>
      <c r="AJ149">
        <f t="array" ref="AJ149:AM149">Canay(T149,AB149,S149,V149,AG149,AH149)</f>
        <v>0.43768079844104957</v>
      </c>
      <c r="AK149">
        <v>0.18997308851605113</v>
      </c>
      <c r="AL149">
        <v>0.56762681452480113</v>
      </c>
      <c r="AM149">
        <v>1.7522334492764968E-2</v>
      </c>
      <c r="AO149" s="1">
        <f t="array" ref="AO149:AR149">Niipt(T149,AB149,S149,V149,X149,Y149)</f>
        <v>0</v>
      </c>
      <c r="AP149" s="1">
        <v>0</v>
      </c>
      <c r="AQ149" s="1">
        <v>0</v>
      </c>
      <c r="AR149" s="1">
        <v>0</v>
      </c>
      <c r="AT149" s="1">
        <f t="shared" si="9"/>
        <v>0</v>
      </c>
      <c r="AU149" s="1">
        <f t="shared" si="10"/>
        <v>0</v>
      </c>
      <c r="AV149" s="1">
        <f t="shared" si="11"/>
        <v>0</v>
      </c>
      <c r="AW149" s="1">
        <f t="shared" si="12"/>
        <v>0</v>
      </c>
    </row>
    <row r="150" spans="1:49" x14ac:dyDescent="0.25">
      <c r="A150" t="s">
        <v>31</v>
      </c>
      <c r="B150" t="s">
        <v>31</v>
      </c>
      <c r="C150">
        <v>60606046</v>
      </c>
      <c r="D150" t="s">
        <v>182</v>
      </c>
      <c r="E150">
        <v>60606009</v>
      </c>
      <c r="F150" t="s">
        <v>34</v>
      </c>
      <c r="G150">
        <v>0</v>
      </c>
      <c r="H150">
        <v>1</v>
      </c>
      <c r="I150">
        <v>60606046</v>
      </c>
      <c r="J150">
        <v>0</v>
      </c>
      <c r="K150">
        <v>0</v>
      </c>
      <c r="L150">
        <v>93.309997559999985</v>
      </c>
      <c r="M150">
        <v>36.167604461242291</v>
      </c>
      <c r="N150">
        <v>110</v>
      </c>
      <c r="O150">
        <v>10.5</v>
      </c>
      <c r="P150">
        <v>0.8</v>
      </c>
      <c r="Q150">
        <v>1</v>
      </c>
      <c r="R150">
        <v>6.9249999999999989</v>
      </c>
      <c r="S150">
        <v>0.217292727272727</v>
      </c>
      <c r="T150">
        <v>1.63330363636364</v>
      </c>
      <c r="U150">
        <v>1.4721381818181798</v>
      </c>
      <c r="V150">
        <v>0.15154363636363596</v>
      </c>
      <c r="W150">
        <v>0.16677818181818196</v>
      </c>
      <c r="X150">
        <v>6.7</v>
      </c>
      <c r="Y150">
        <v>0.2</v>
      </c>
      <c r="Z150">
        <v>0.5</v>
      </c>
      <c r="AA150">
        <v>0</v>
      </c>
      <c r="AB150">
        <v>0.144327272727273</v>
      </c>
      <c r="AC150">
        <v>0</v>
      </c>
      <c r="AD150">
        <v>0</v>
      </c>
      <c r="AE150">
        <v>0</v>
      </c>
      <c r="AG150">
        <f t="array" ref="AG150:AH150">T1T2(T150,S150,V150,X150,Y150)</f>
        <v>0.83339448144708017</v>
      </c>
      <c r="AH150">
        <v>0.14918492943621767</v>
      </c>
      <c r="AJ150">
        <f t="array" ref="AJ150:AM150">Canay(T150,AB150,S150,V150,AG150,AH150)</f>
        <v>0.46108505383805909</v>
      </c>
      <c r="AK150">
        <v>0.18095401680760873</v>
      </c>
      <c r="AL150">
        <v>0.45650155695603029</v>
      </c>
      <c r="AM150">
        <v>7.5542348776273024E-3</v>
      </c>
      <c r="AO150" s="1">
        <f t="array" ref="AO150:AR150">Niipt(T150,AB150,S150,V150,X150,Y150)</f>
        <v>0</v>
      </c>
      <c r="AP150" s="1">
        <v>0</v>
      </c>
      <c r="AQ150" s="1">
        <v>0</v>
      </c>
      <c r="AR150" s="1">
        <v>0</v>
      </c>
      <c r="AT150" s="1">
        <f t="shared" si="9"/>
        <v>0</v>
      </c>
      <c r="AU150" s="1">
        <f t="shared" si="10"/>
        <v>0</v>
      </c>
      <c r="AV150" s="1">
        <f t="shared" si="11"/>
        <v>0</v>
      </c>
      <c r="AW150" s="1">
        <f t="shared" si="12"/>
        <v>0</v>
      </c>
    </row>
    <row r="151" spans="1:49" x14ac:dyDescent="0.25">
      <c r="A151" t="s">
        <v>31</v>
      </c>
      <c r="B151" t="s">
        <v>31</v>
      </c>
      <c r="C151">
        <v>60607051</v>
      </c>
      <c r="D151" t="s">
        <v>183</v>
      </c>
      <c r="E151">
        <v>60607003</v>
      </c>
      <c r="F151" t="s">
        <v>34</v>
      </c>
      <c r="G151">
        <v>0</v>
      </c>
      <c r="H151">
        <v>1</v>
      </c>
      <c r="I151">
        <v>60607051</v>
      </c>
      <c r="J151">
        <v>0</v>
      </c>
      <c r="K151">
        <v>0</v>
      </c>
      <c r="L151">
        <v>14.660000800000001</v>
      </c>
      <c r="M151">
        <v>20.066489557293</v>
      </c>
      <c r="N151">
        <v>36</v>
      </c>
      <c r="O151">
        <v>6.3</v>
      </c>
      <c r="P151">
        <v>0.8</v>
      </c>
      <c r="Q151">
        <v>1</v>
      </c>
      <c r="R151">
        <v>5.9729999999999999</v>
      </c>
      <c r="S151">
        <v>0.18081</v>
      </c>
      <c r="T151">
        <v>2.1432600000000002</v>
      </c>
      <c r="U151">
        <v>2.03742</v>
      </c>
      <c r="V151">
        <v>0.112896</v>
      </c>
      <c r="W151">
        <v>0.15787799999999996</v>
      </c>
      <c r="X151">
        <v>9.89</v>
      </c>
      <c r="Y151">
        <v>0.2</v>
      </c>
      <c r="Z151">
        <v>0.5</v>
      </c>
      <c r="AA151">
        <v>0</v>
      </c>
      <c r="AB151">
        <v>0.10584</v>
      </c>
      <c r="AC151">
        <v>0</v>
      </c>
      <c r="AD151">
        <v>0</v>
      </c>
      <c r="AE151">
        <v>0</v>
      </c>
      <c r="AG151">
        <f t="array" ref="AG151:AH151">T1T2(T151,S151,V151,X151,Y151)</f>
        <v>0.7567779147226964</v>
      </c>
      <c r="AH151">
        <v>0.13767704431522151</v>
      </c>
      <c r="AJ151">
        <f t="array" ref="AJ151:AM151">Canay(T151,AB151,S151,V151,AG151,AH151)</f>
        <v>0.41133637561943631</v>
      </c>
      <c r="AK151">
        <v>0.16437930898849654</v>
      </c>
      <c r="AL151">
        <v>0.43165099528995099</v>
      </c>
      <c r="AM151">
        <v>7.3992381838604024E-3</v>
      </c>
      <c r="AO151" s="1">
        <f t="array" ref="AO151:AR151">Niipt(T151,AB151,S151,V151,X151,Y151)</f>
        <v>0</v>
      </c>
      <c r="AP151" s="1">
        <v>0</v>
      </c>
      <c r="AQ151" s="1">
        <v>0</v>
      </c>
      <c r="AR151" s="1">
        <v>0</v>
      </c>
      <c r="AT151" s="1">
        <f t="shared" si="9"/>
        <v>0</v>
      </c>
      <c r="AU151" s="1">
        <f t="shared" si="10"/>
        <v>0</v>
      </c>
      <c r="AV151" s="1">
        <f t="shared" si="11"/>
        <v>0</v>
      </c>
      <c r="AW151" s="1">
        <f t="shared" si="12"/>
        <v>0</v>
      </c>
    </row>
    <row r="152" spans="1:49" x14ac:dyDescent="0.25">
      <c r="A152" t="s">
        <v>31</v>
      </c>
      <c r="B152" t="s">
        <v>31</v>
      </c>
      <c r="C152">
        <v>60607052</v>
      </c>
      <c r="D152" t="s">
        <v>184</v>
      </c>
      <c r="E152">
        <v>60607007</v>
      </c>
      <c r="F152" t="s">
        <v>34</v>
      </c>
      <c r="G152">
        <v>0</v>
      </c>
      <c r="H152">
        <v>1</v>
      </c>
      <c r="I152">
        <v>60607052</v>
      </c>
      <c r="J152">
        <v>0</v>
      </c>
      <c r="K152">
        <v>0</v>
      </c>
      <c r="L152">
        <v>16.960000989999998</v>
      </c>
      <c r="M152">
        <v>10.995330432528299</v>
      </c>
      <c r="N152">
        <v>32</v>
      </c>
      <c r="O152">
        <v>6.3</v>
      </c>
      <c r="P152">
        <v>0.8</v>
      </c>
      <c r="Q152">
        <v>1</v>
      </c>
      <c r="R152">
        <v>10.234</v>
      </c>
      <c r="S152">
        <v>0.21502057499999996</v>
      </c>
      <c r="T152">
        <v>1.9219882500000001</v>
      </c>
      <c r="U152">
        <v>1.9219882500000001</v>
      </c>
      <c r="V152">
        <v>0.12502350000000001</v>
      </c>
      <c r="W152">
        <v>0.12502350000000001</v>
      </c>
      <c r="X152">
        <v>11.58</v>
      </c>
      <c r="Y152">
        <v>0.2</v>
      </c>
      <c r="Z152">
        <v>0.5</v>
      </c>
      <c r="AA152">
        <v>0</v>
      </c>
      <c r="AB152">
        <v>0.11907</v>
      </c>
      <c r="AC152">
        <v>0</v>
      </c>
      <c r="AD152">
        <v>0</v>
      </c>
      <c r="AE152">
        <v>0</v>
      </c>
      <c r="AG152">
        <f t="array" ref="AG152:AH152">T1T2(T152,S152,V152,X152,Y152)</f>
        <v>1.2147243899960549</v>
      </c>
      <c r="AH152">
        <v>0.12402285593623817</v>
      </c>
      <c r="AJ152">
        <f t="array" ref="AJ152:AM152">Canay(T152,AB152,S152,V152,AG152,AH152)</f>
        <v>0.2356087221828968</v>
      </c>
      <c r="AK152">
        <v>0.1501236803037537</v>
      </c>
      <c r="AL152">
        <v>0.51828063020038828</v>
      </c>
      <c r="AM152">
        <v>6.2207395337090148E-3</v>
      </c>
      <c r="AO152" s="1">
        <f t="array" ref="AO152:AR152">Niipt(T152,AB152,S152,V152,X152,Y152)</f>
        <v>0</v>
      </c>
      <c r="AP152" s="1">
        <v>0</v>
      </c>
      <c r="AQ152" s="1">
        <v>0</v>
      </c>
      <c r="AR152" s="1">
        <v>0</v>
      </c>
      <c r="AT152" s="1">
        <f t="shared" si="9"/>
        <v>0</v>
      </c>
      <c r="AU152" s="1">
        <f t="shared" si="10"/>
        <v>0</v>
      </c>
      <c r="AV152" s="1">
        <f t="shared" si="11"/>
        <v>0</v>
      </c>
      <c r="AW152" s="1">
        <f t="shared" si="12"/>
        <v>0</v>
      </c>
    </row>
    <row r="153" spans="1:49" x14ac:dyDescent="0.25">
      <c r="A153" t="s">
        <v>31</v>
      </c>
      <c r="B153" t="s">
        <v>31</v>
      </c>
      <c r="C153">
        <v>60610001</v>
      </c>
      <c r="D153" t="s">
        <v>185</v>
      </c>
      <c r="E153">
        <v>60610003</v>
      </c>
      <c r="F153" t="s">
        <v>34</v>
      </c>
      <c r="G153">
        <v>0</v>
      </c>
      <c r="H153">
        <v>1</v>
      </c>
      <c r="I153">
        <v>60610001</v>
      </c>
      <c r="J153">
        <v>0</v>
      </c>
      <c r="K153">
        <v>0</v>
      </c>
      <c r="L153">
        <v>18.409423829999998</v>
      </c>
      <c r="M153">
        <v>22.480074965879599</v>
      </c>
      <c r="N153">
        <v>30</v>
      </c>
      <c r="O153">
        <v>6.3</v>
      </c>
      <c r="P153">
        <v>0.8</v>
      </c>
      <c r="Q153">
        <v>1</v>
      </c>
      <c r="R153">
        <v>11.237</v>
      </c>
      <c r="S153">
        <v>0.25401600000000002</v>
      </c>
      <c r="T153">
        <v>2.4766560000000002</v>
      </c>
      <c r="U153">
        <v>2.4766560000000002</v>
      </c>
      <c r="V153">
        <v>0.15664319999999998</v>
      </c>
      <c r="W153">
        <v>0.232848</v>
      </c>
      <c r="X153">
        <v>10</v>
      </c>
      <c r="Y153">
        <v>0.2</v>
      </c>
      <c r="Z153">
        <v>0.5</v>
      </c>
      <c r="AA153">
        <v>0</v>
      </c>
      <c r="AB153">
        <v>0.148176</v>
      </c>
      <c r="AC153">
        <v>0</v>
      </c>
      <c r="AD153">
        <v>0</v>
      </c>
      <c r="AE153">
        <v>0</v>
      </c>
      <c r="AG153">
        <f t="array" ref="AG153:AH153">T1T2(T153,S153,V153,X153,Y153)</f>
        <v>0.94969509915116612</v>
      </c>
      <c r="AH153">
        <v>0.1331961453826474</v>
      </c>
      <c r="AJ153">
        <f t="array" ref="AJ153:AM153">Canay(T153,AB153,S153,V153,AG153,AH153)</f>
        <v>0.40221690621489414</v>
      </c>
      <c r="AK153">
        <v>0.19620238454073308</v>
      </c>
      <c r="AL153">
        <v>0.59579754290162845</v>
      </c>
      <c r="AM153">
        <v>8.8828442954136059E-3</v>
      </c>
      <c r="AO153" s="1">
        <f t="array" ref="AO153:AR153">Niipt(T153,AB153,S153,V153,X153,Y153)</f>
        <v>0</v>
      </c>
      <c r="AP153" s="1">
        <v>0</v>
      </c>
      <c r="AQ153" s="1">
        <v>0</v>
      </c>
      <c r="AR153" s="1">
        <v>0</v>
      </c>
      <c r="AT153" s="1">
        <f t="shared" si="9"/>
        <v>0</v>
      </c>
      <c r="AU153" s="1">
        <f t="shared" si="10"/>
        <v>0</v>
      </c>
      <c r="AV153" s="1">
        <f t="shared" si="11"/>
        <v>0</v>
      </c>
      <c r="AW153" s="1">
        <f t="shared" si="12"/>
        <v>0</v>
      </c>
    </row>
    <row r="154" spans="1:49" x14ac:dyDescent="0.25">
      <c r="A154" t="s">
        <v>31</v>
      </c>
      <c r="B154" t="s">
        <v>31</v>
      </c>
      <c r="C154">
        <v>60404067</v>
      </c>
      <c r="D154" t="s">
        <v>186</v>
      </c>
      <c r="E154">
        <v>60404067</v>
      </c>
      <c r="F154" t="s">
        <v>34</v>
      </c>
      <c r="G154">
        <v>0</v>
      </c>
      <c r="H154">
        <v>1</v>
      </c>
      <c r="I154">
        <v>60404067</v>
      </c>
      <c r="J154">
        <v>0</v>
      </c>
      <c r="K154">
        <v>0</v>
      </c>
      <c r="L154">
        <v>42.52</v>
      </c>
      <c r="M154">
        <v>41.261741064473192</v>
      </c>
      <c r="N154">
        <v>100</v>
      </c>
      <c r="O154">
        <v>10.5</v>
      </c>
      <c r="P154">
        <v>0.8</v>
      </c>
      <c r="Q154">
        <v>1</v>
      </c>
      <c r="R154">
        <v>6.53</v>
      </c>
      <c r="S154">
        <v>0.245196</v>
      </c>
      <c r="T154">
        <v>1.6819740000000001</v>
      </c>
      <c r="U154">
        <v>1.513512</v>
      </c>
      <c r="V154">
        <v>0.16934399999999997</v>
      </c>
      <c r="W154">
        <v>0.18610199999999999</v>
      </c>
      <c r="X154">
        <v>6.45</v>
      </c>
      <c r="Y154">
        <v>0.17</v>
      </c>
      <c r="Z154">
        <v>0.5</v>
      </c>
      <c r="AA154">
        <v>0</v>
      </c>
      <c r="AB154">
        <v>0.15346799999999997</v>
      </c>
      <c r="AC154">
        <v>0</v>
      </c>
      <c r="AD154">
        <v>0</v>
      </c>
      <c r="AE154">
        <v>0</v>
      </c>
      <c r="AG154">
        <f t="array" ref="AG154:AH154">T1T2(T154,S154,V154,X154,Y154)</f>
        <v>0.89153895068382283</v>
      </c>
      <c r="AH154">
        <v>0.12382799750122914</v>
      </c>
      <c r="AJ154">
        <f t="array" ref="AJ154:AM154">Canay(T154,AB154,S154,V154,AG154,AH154)</f>
        <v>0.39577769453488559</v>
      </c>
      <c r="AK154">
        <v>0.16856128292204872</v>
      </c>
      <c r="AL154">
        <v>0.66303175216577293</v>
      </c>
      <c r="AM154">
        <v>1.7730067610125886E-2</v>
      </c>
      <c r="AO154" s="1">
        <f t="array" ref="AO154:AR154">Niipt(T154,AB154,S154,V154,X154,Y154)</f>
        <v>0</v>
      </c>
      <c r="AP154" s="1">
        <v>0</v>
      </c>
      <c r="AQ154" s="1">
        <v>0</v>
      </c>
      <c r="AR154" s="1">
        <v>0</v>
      </c>
      <c r="AT154" s="1">
        <f t="shared" si="9"/>
        <v>0</v>
      </c>
      <c r="AU154" s="1">
        <f t="shared" si="10"/>
        <v>0</v>
      </c>
      <c r="AV154" s="1">
        <f t="shared" si="11"/>
        <v>0</v>
      </c>
      <c r="AW154" s="1">
        <f t="shared" si="12"/>
        <v>0</v>
      </c>
    </row>
    <row r="155" spans="1:49" x14ac:dyDescent="0.25">
      <c r="A155" t="s">
        <v>31</v>
      </c>
      <c r="B155" t="s">
        <v>31</v>
      </c>
      <c r="C155">
        <v>60404066</v>
      </c>
      <c r="D155" t="s">
        <v>187</v>
      </c>
      <c r="E155">
        <v>60404066</v>
      </c>
      <c r="F155" t="s">
        <v>34</v>
      </c>
      <c r="G155">
        <v>0</v>
      </c>
      <c r="H155">
        <v>1</v>
      </c>
      <c r="I155">
        <v>60404066</v>
      </c>
      <c r="J155">
        <v>0</v>
      </c>
      <c r="K155">
        <v>0</v>
      </c>
      <c r="L155">
        <v>63.72</v>
      </c>
      <c r="M155">
        <v>56.272367505922794</v>
      </c>
      <c r="N155">
        <v>100</v>
      </c>
      <c r="O155">
        <v>10.5</v>
      </c>
      <c r="P155">
        <v>0.8</v>
      </c>
      <c r="Q155">
        <v>1</v>
      </c>
      <c r="R155">
        <v>6.53</v>
      </c>
      <c r="S155">
        <v>0.245196</v>
      </c>
      <c r="T155">
        <v>1.6819740000000001</v>
      </c>
      <c r="U155">
        <v>1.513512</v>
      </c>
      <c r="V155">
        <v>0.16934399999999997</v>
      </c>
      <c r="W155">
        <v>0.18610199999999999</v>
      </c>
      <c r="X155">
        <v>6.45</v>
      </c>
      <c r="Y155">
        <v>0.17</v>
      </c>
      <c r="Z155">
        <v>0.5</v>
      </c>
      <c r="AA155">
        <v>0</v>
      </c>
      <c r="AB155">
        <v>0.15346799999999997</v>
      </c>
      <c r="AC155">
        <v>0</v>
      </c>
      <c r="AD155">
        <v>0</v>
      </c>
      <c r="AE155">
        <v>0</v>
      </c>
      <c r="AG155">
        <f t="array" ref="AG155:AH155">T1T2(T155,S155,V155,X155,Y155)</f>
        <v>0.89153895068382283</v>
      </c>
      <c r="AH155">
        <v>0.12382799750122914</v>
      </c>
      <c r="AJ155">
        <f t="array" ref="AJ155:AM155">Canay(T155,AB155,S155,V155,AG155,AH155)</f>
        <v>0.39577769453488559</v>
      </c>
      <c r="AK155">
        <v>0.16856128292204872</v>
      </c>
      <c r="AL155">
        <v>0.66303175216577293</v>
      </c>
      <c r="AM155">
        <v>1.7730067610125886E-2</v>
      </c>
      <c r="AO155" s="1">
        <f t="array" ref="AO155:AR155">Niipt(T155,AB155,S155,V155,X155,Y155)</f>
        <v>0</v>
      </c>
      <c r="AP155" s="1">
        <v>0</v>
      </c>
      <c r="AQ155" s="1">
        <v>0</v>
      </c>
      <c r="AR155" s="1">
        <v>0</v>
      </c>
      <c r="AT155" s="1">
        <f t="shared" si="9"/>
        <v>0</v>
      </c>
      <c r="AU155" s="1">
        <f t="shared" si="10"/>
        <v>0</v>
      </c>
      <c r="AV155" s="1">
        <f t="shared" si="11"/>
        <v>0</v>
      </c>
      <c r="AW155" s="1">
        <f t="shared" si="12"/>
        <v>0</v>
      </c>
    </row>
    <row r="156" spans="1:49" x14ac:dyDescent="0.25">
      <c r="A156" t="s">
        <v>31</v>
      </c>
      <c r="B156" t="s">
        <v>31</v>
      </c>
      <c r="C156">
        <v>60404065</v>
      </c>
      <c r="D156" t="s">
        <v>188</v>
      </c>
      <c r="E156">
        <v>60404065</v>
      </c>
      <c r="F156" t="s">
        <v>34</v>
      </c>
      <c r="G156">
        <v>0</v>
      </c>
      <c r="H156">
        <v>1</v>
      </c>
      <c r="I156">
        <v>60404065</v>
      </c>
      <c r="J156">
        <v>0</v>
      </c>
      <c r="K156">
        <v>0</v>
      </c>
      <c r="L156">
        <v>34.93</v>
      </c>
      <c r="M156">
        <v>50.753656533919596</v>
      </c>
      <c r="N156">
        <v>100</v>
      </c>
      <c r="O156">
        <v>10.5</v>
      </c>
      <c r="P156">
        <v>0.8</v>
      </c>
      <c r="Q156">
        <v>1</v>
      </c>
      <c r="R156">
        <v>6.53</v>
      </c>
      <c r="S156">
        <v>0.245196</v>
      </c>
      <c r="T156">
        <v>1.6819740000000001</v>
      </c>
      <c r="U156">
        <v>1.513512</v>
      </c>
      <c r="V156">
        <v>0.16934399999999997</v>
      </c>
      <c r="W156">
        <v>0.18610199999999999</v>
      </c>
      <c r="X156">
        <v>6.45</v>
      </c>
      <c r="Y156">
        <v>0.17</v>
      </c>
      <c r="Z156">
        <v>0.5</v>
      </c>
      <c r="AA156">
        <v>0</v>
      </c>
      <c r="AB156">
        <v>0.15346799999999997</v>
      </c>
      <c r="AC156">
        <v>0</v>
      </c>
      <c r="AD156">
        <v>0</v>
      </c>
      <c r="AE156">
        <v>0</v>
      </c>
      <c r="AG156">
        <f t="array" ref="AG156:AH156">T1T2(T156,S156,V156,X156,Y156)</f>
        <v>0.89153895068382283</v>
      </c>
      <c r="AH156">
        <v>0.12382799750122914</v>
      </c>
      <c r="AJ156">
        <f t="array" ref="AJ156:AM156">Canay(T156,AB156,S156,V156,AG156,AH156)</f>
        <v>0.39577769453488559</v>
      </c>
      <c r="AK156">
        <v>0.16856128292204872</v>
      </c>
      <c r="AL156">
        <v>0.66303175216577293</v>
      </c>
      <c r="AM156">
        <v>1.7730067610125886E-2</v>
      </c>
      <c r="AO156" s="1">
        <f t="array" ref="AO156:AR156">Niipt(T156,AB156,S156,V156,X156,Y156)</f>
        <v>0</v>
      </c>
      <c r="AP156" s="1">
        <v>0</v>
      </c>
      <c r="AQ156" s="1">
        <v>0</v>
      </c>
      <c r="AR156" s="1">
        <v>0</v>
      </c>
      <c r="AT156" s="1">
        <f t="shared" si="9"/>
        <v>0</v>
      </c>
      <c r="AU156" s="1">
        <f t="shared" si="10"/>
        <v>0</v>
      </c>
      <c r="AV156" s="1">
        <f t="shared" si="11"/>
        <v>0</v>
      </c>
      <c r="AW156" s="1">
        <f t="shared" si="12"/>
        <v>0</v>
      </c>
    </row>
    <row r="157" spans="1:49" x14ac:dyDescent="0.25">
      <c r="A157" t="s">
        <v>31</v>
      </c>
      <c r="B157" t="s">
        <v>32</v>
      </c>
      <c r="C157">
        <v>60403333</v>
      </c>
      <c r="D157" t="s">
        <v>189</v>
      </c>
      <c r="E157">
        <v>60403333</v>
      </c>
      <c r="F157" t="s">
        <v>34</v>
      </c>
      <c r="G157">
        <v>0</v>
      </c>
      <c r="H157">
        <v>1</v>
      </c>
      <c r="I157">
        <v>60403333</v>
      </c>
      <c r="J157">
        <v>0</v>
      </c>
      <c r="K157">
        <v>0</v>
      </c>
      <c r="L157">
        <v>0</v>
      </c>
      <c r="M157">
        <v>0</v>
      </c>
      <c r="N157">
        <v>79.3</v>
      </c>
      <c r="O157">
        <v>10.5</v>
      </c>
      <c r="P157">
        <v>0.85</v>
      </c>
      <c r="Q157">
        <v>1</v>
      </c>
      <c r="R157">
        <v>7.58</v>
      </c>
      <c r="S157">
        <v>0.37106841109709993</v>
      </c>
      <c r="T157">
        <v>2.5525725094577596</v>
      </c>
      <c r="U157">
        <v>2.0278770491803302</v>
      </c>
      <c r="V157">
        <v>0.25289375788146295</v>
      </c>
      <c r="W157">
        <v>0.24934851828499396</v>
      </c>
      <c r="X157">
        <v>6.45</v>
      </c>
      <c r="Y157">
        <v>0.17</v>
      </c>
      <c r="Z157">
        <v>0.5</v>
      </c>
      <c r="AA157">
        <v>0</v>
      </c>
      <c r="AB157">
        <v>0.20562389659520797</v>
      </c>
      <c r="AC157">
        <v>0</v>
      </c>
      <c r="AD157">
        <v>0</v>
      </c>
      <c r="AE157">
        <v>0</v>
      </c>
      <c r="AG157">
        <f t="array" ref="AG157:AH157">T1T2(T157,S157,V157,X157,Y157)</f>
        <v>0.8873459802101572</v>
      </c>
      <c r="AH157">
        <v>0.12242656713956517</v>
      </c>
      <c r="AJ157">
        <f t="array" ref="AJ157:AM157">Canay(T157,AB157,S157,V157,AG157,AH157)</f>
        <v>0.5529586128195213</v>
      </c>
      <c r="AK157">
        <v>0.2606604546000843</v>
      </c>
      <c r="AL157">
        <v>1.2635596248987075</v>
      </c>
      <c r="AM157">
        <v>5.9197395841292404E-2</v>
      </c>
      <c r="AO157" s="1">
        <f t="array" ref="AO157:AR157">Niipt(T157,AB157,S157,V157,X157,Y157)</f>
        <v>0</v>
      </c>
      <c r="AP157" s="1">
        <v>0</v>
      </c>
      <c r="AQ157" s="1">
        <v>0</v>
      </c>
      <c r="AR157" s="1">
        <v>0</v>
      </c>
      <c r="AT157" s="1">
        <f t="shared" si="9"/>
        <v>0</v>
      </c>
      <c r="AU157" s="1">
        <f t="shared" si="10"/>
        <v>0</v>
      </c>
      <c r="AV157" s="1">
        <f t="shared" si="11"/>
        <v>0</v>
      </c>
      <c r="AW157" s="1">
        <f t="shared" si="12"/>
        <v>0</v>
      </c>
    </row>
    <row r="158" spans="1:49" x14ac:dyDescent="0.25">
      <c r="A158" t="s">
        <v>31</v>
      </c>
      <c r="B158" t="s">
        <v>31</v>
      </c>
      <c r="C158">
        <v>60403328</v>
      </c>
      <c r="D158" t="s">
        <v>190</v>
      </c>
      <c r="E158">
        <v>60403328</v>
      </c>
      <c r="F158" t="s">
        <v>34</v>
      </c>
      <c r="G158">
        <v>0</v>
      </c>
      <c r="H158">
        <v>1</v>
      </c>
      <c r="I158">
        <v>60403328</v>
      </c>
      <c r="J158">
        <v>0</v>
      </c>
      <c r="K158">
        <v>0</v>
      </c>
      <c r="L158">
        <v>45.37</v>
      </c>
      <c r="M158">
        <v>24.387380542507895</v>
      </c>
      <c r="N158">
        <v>50</v>
      </c>
      <c r="O158">
        <v>6.3</v>
      </c>
      <c r="P158">
        <v>0.85</v>
      </c>
      <c r="Q158">
        <v>1</v>
      </c>
      <c r="R158">
        <v>8.86</v>
      </c>
      <c r="S158">
        <v>0.2091663</v>
      </c>
      <c r="T158">
        <v>1.1740302</v>
      </c>
      <c r="U158">
        <v>0.97768376999999984</v>
      </c>
      <c r="V158">
        <v>0.14169329999999997</v>
      </c>
      <c r="W158">
        <v>0.14439221999999999</v>
      </c>
      <c r="X158">
        <v>4.9000000000000004</v>
      </c>
      <c r="Y158">
        <v>0.153</v>
      </c>
      <c r="Z158">
        <v>0.5</v>
      </c>
      <c r="AA158">
        <v>0</v>
      </c>
      <c r="AB158">
        <v>0.1147041</v>
      </c>
      <c r="AC158">
        <v>0</v>
      </c>
      <c r="AD158">
        <v>0</v>
      </c>
      <c r="AE158">
        <v>0</v>
      </c>
      <c r="AG158">
        <f t="array" ref="AG158:AH158">T1T2(T158,S158,V158,X158,Y158)</f>
        <v>0.82881186639591009</v>
      </c>
      <c r="AH158">
        <v>0.10916956929708974</v>
      </c>
      <c r="AJ158">
        <f t="array" ref="AJ158:AM158">Canay(T158,AB158,S158,V158,AG158,AH158)</f>
        <v>0.326668473227887</v>
      </c>
      <c r="AK158">
        <v>0.14698649963092189</v>
      </c>
      <c r="AL158">
        <v>0.80387371738869118</v>
      </c>
      <c r="AM158">
        <v>3.4124433825429887E-2</v>
      </c>
      <c r="AO158" s="1">
        <f t="array" ref="AO158:AR158">Niipt(T158,AB158,S158,V158,X158,Y158)</f>
        <v>0.39678322064422689</v>
      </c>
      <c r="AP158" s="1">
        <v>0.10371024755244755</v>
      </c>
      <c r="AQ158" s="1">
        <v>0.51705717639760396</v>
      </c>
      <c r="AR158" s="1">
        <v>3.7784879999999917E-2</v>
      </c>
      <c r="AT158" s="1">
        <f t="shared" si="9"/>
        <v>-21.463579488868266</v>
      </c>
      <c r="AU158" s="1">
        <f t="shared" si="10"/>
        <v>29.442331225751712</v>
      </c>
      <c r="AV158" s="1">
        <f t="shared" si="11"/>
        <v>35.679303202346759</v>
      </c>
      <c r="AW158" s="1">
        <f t="shared" si="12"/>
        <v>-10.726760166324654</v>
      </c>
    </row>
    <row r="159" spans="1:49" x14ac:dyDescent="0.25">
      <c r="A159" t="s">
        <v>31</v>
      </c>
      <c r="B159" t="s">
        <v>31</v>
      </c>
      <c r="C159">
        <v>60403307</v>
      </c>
      <c r="D159" t="s">
        <v>191</v>
      </c>
      <c r="E159">
        <v>60403307</v>
      </c>
      <c r="F159" t="s">
        <v>34</v>
      </c>
      <c r="G159">
        <v>0</v>
      </c>
      <c r="H159">
        <v>1</v>
      </c>
      <c r="I159">
        <v>60403307</v>
      </c>
      <c r="J159">
        <v>0</v>
      </c>
      <c r="K159">
        <v>0</v>
      </c>
      <c r="L159">
        <v>20.23</v>
      </c>
      <c r="M159">
        <v>12.794091942003298</v>
      </c>
      <c r="N159">
        <v>22</v>
      </c>
      <c r="O159">
        <v>6.3</v>
      </c>
      <c r="P159">
        <v>0.8</v>
      </c>
      <c r="Q159">
        <v>1</v>
      </c>
      <c r="R159">
        <v>10.210000000000001</v>
      </c>
      <c r="S159">
        <v>0.346385454545455</v>
      </c>
      <c r="T159">
        <v>3.5403479999999994</v>
      </c>
      <c r="U159">
        <v>3.43210254545455</v>
      </c>
      <c r="V159">
        <v>0.20638799999999999</v>
      </c>
      <c r="W159">
        <v>0.24102654545454497</v>
      </c>
      <c r="X159">
        <v>10.3</v>
      </c>
      <c r="Y159">
        <v>0.217</v>
      </c>
      <c r="Z159">
        <v>0.5</v>
      </c>
      <c r="AA159">
        <v>0</v>
      </c>
      <c r="AB159">
        <v>0.18329563636363597</v>
      </c>
      <c r="AC159">
        <v>0</v>
      </c>
      <c r="AD159">
        <v>0</v>
      </c>
      <c r="AE159">
        <v>0</v>
      </c>
      <c r="AG159">
        <f t="array" ref="AG159:AH159">T1T2(T159,S159,V159,X159,Y159)</f>
        <v>0.91892205617910871</v>
      </c>
      <c r="AH159">
        <v>0.14179364674172526</v>
      </c>
      <c r="AJ159">
        <f t="array" ref="AJ159:AM159">Canay(T159,AB159,S159,V159,AG159,AH159)</f>
        <v>0.55882770388370662</v>
      </c>
      <c r="AK159">
        <v>0.28752760120898435</v>
      </c>
      <c r="AL159">
        <v>0.84661017296222851</v>
      </c>
      <c r="AM159">
        <v>2.5298169643340619E-2</v>
      </c>
      <c r="AO159" s="1">
        <f t="array" ref="AO159:AR159">Niipt(T159,AB159,S159,V159,X159,Y159)</f>
        <v>0</v>
      </c>
      <c r="AP159" s="1">
        <v>0</v>
      </c>
      <c r="AQ159" s="1">
        <v>0</v>
      </c>
      <c r="AR159" s="1">
        <v>0</v>
      </c>
      <c r="AT159" s="1">
        <f t="shared" si="9"/>
        <v>0</v>
      </c>
      <c r="AU159" s="1">
        <f t="shared" si="10"/>
        <v>0</v>
      </c>
      <c r="AV159" s="1">
        <f t="shared" si="11"/>
        <v>0</v>
      </c>
      <c r="AW159" s="1">
        <f t="shared" si="12"/>
        <v>0</v>
      </c>
    </row>
    <row r="160" spans="1:49" x14ac:dyDescent="0.25">
      <c r="A160" t="s">
        <v>31</v>
      </c>
      <c r="B160" t="s">
        <v>31</v>
      </c>
      <c r="C160">
        <v>60403317</v>
      </c>
      <c r="D160" t="s">
        <v>192</v>
      </c>
      <c r="E160">
        <v>60403317</v>
      </c>
      <c r="F160" t="s">
        <v>34</v>
      </c>
      <c r="G160">
        <v>0</v>
      </c>
      <c r="H160">
        <v>1</v>
      </c>
      <c r="I160">
        <v>60403317</v>
      </c>
      <c r="J160">
        <v>0</v>
      </c>
      <c r="K160">
        <v>0</v>
      </c>
      <c r="L160">
        <v>45.6</v>
      </c>
      <c r="M160">
        <v>32.566524934468191</v>
      </c>
      <c r="N160">
        <v>50</v>
      </c>
      <c r="O160">
        <v>6.3</v>
      </c>
      <c r="P160">
        <v>0.8</v>
      </c>
      <c r="Q160">
        <v>1</v>
      </c>
      <c r="R160">
        <v>9.31</v>
      </c>
      <c r="S160">
        <v>0.15367967999999999</v>
      </c>
      <c r="T160">
        <v>1.3907376</v>
      </c>
      <c r="U160">
        <v>1.1430720000000001</v>
      </c>
      <c r="V160">
        <v>9.906624E-2</v>
      </c>
      <c r="W160">
        <v>0.10922688</v>
      </c>
      <c r="X160">
        <v>11.7</v>
      </c>
      <c r="Y160">
        <v>0.27399999999999997</v>
      </c>
      <c r="Z160">
        <v>0.5</v>
      </c>
      <c r="AA160">
        <v>0</v>
      </c>
      <c r="AB160">
        <v>9.525599999999998E-2</v>
      </c>
      <c r="AC160">
        <v>0</v>
      </c>
      <c r="AD160">
        <v>0</v>
      </c>
      <c r="AE160">
        <v>0</v>
      </c>
      <c r="AG160">
        <f t="array" ref="AG160:AH160">T1T2(T160,S160,V160,X160,Y160)</f>
        <v>1.1968905049872944</v>
      </c>
      <c r="AH160">
        <v>0.19079302176167531</v>
      </c>
      <c r="AJ160">
        <f t="array" ref="AJ160:AM160">Canay(T160,AB160,S160,V160,AG160,AH160)</f>
        <v>0.21090245151660048</v>
      </c>
      <c r="AK160">
        <v>0.12514700386117061</v>
      </c>
      <c r="AL160">
        <v>0.24807394444490743</v>
      </c>
      <c r="AM160">
        <v>3.9418476129348115E-3</v>
      </c>
      <c r="AO160" s="1">
        <f t="array" ref="AO160:AR160">Niipt(T160,AB160,S160,V160,X160,Y160)</f>
        <v>0</v>
      </c>
      <c r="AP160" s="1">
        <v>0</v>
      </c>
      <c r="AQ160" s="1">
        <v>0</v>
      </c>
      <c r="AR160" s="1">
        <v>0</v>
      </c>
      <c r="AT160" s="1">
        <f t="shared" si="9"/>
        <v>0</v>
      </c>
      <c r="AU160" s="1">
        <f t="shared" si="10"/>
        <v>0</v>
      </c>
      <c r="AV160" s="1">
        <f t="shared" si="11"/>
        <v>0</v>
      </c>
      <c r="AW160" s="1">
        <f t="shared" si="12"/>
        <v>0</v>
      </c>
    </row>
    <row r="161" spans="1:49" x14ac:dyDescent="0.25">
      <c r="A161" t="s">
        <v>31</v>
      </c>
      <c r="B161" t="s">
        <v>31</v>
      </c>
      <c r="C161">
        <v>60403084</v>
      </c>
      <c r="D161" t="s">
        <v>193</v>
      </c>
      <c r="E161">
        <v>60403084</v>
      </c>
      <c r="F161" t="s">
        <v>34</v>
      </c>
      <c r="G161">
        <v>0</v>
      </c>
      <c r="H161">
        <v>1</v>
      </c>
      <c r="I161">
        <v>60403084</v>
      </c>
      <c r="J161">
        <v>0</v>
      </c>
      <c r="K161">
        <v>0</v>
      </c>
      <c r="L161">
        <v>41.51</v>
      </c>
      <c r="M161">
        <v>39.922518570220795</v>
      </c>
      <c r="N161">
        <v>60</v>
      </c>
      <c r="O161">
        <v>10.5</v>
      </c>
      <c r="P161">
        <v>0.8</v>
      </c>
      <c r="Q161">
        <v>1</v>
      </c>
      <c r="R161">
        <v>10.15</v>
      </c>
      <c r="S161">
        <v>0.35574</v>
      </c>
      <c r="T161">
        <v>2.94</v>
      </c>
      <c r="U161">
        <v>2.7929999999999997</v>
      </c>
      <c r="V161">
        <v>0.23079</v>
      </c>
      <c r="W161">
        <v>0.32339999999999997</v>
      </c>
      <c r="X161">
        <v>11.7</v>
      </c>
      <c r="Y161">
        <v>0.05</v>
      </c>
      <c r="Z161">
        <v>0.1</v>
      </c>
      <c r="AA161">
        <v>0</v>
      </c>
      <c r="AB161">
        <v>0.2205</v>
      </c>
      <c r="AC161">
        <v>0</v>
      </c>
      <c r="AD161">
        <v>0</v>
      </c>
      <c r="AE161">
        <v>0</v>
      </c>
      <c r="AG161">
        <f t="array" ref="AG161:AH161">T1T2(T161,S161,V161,X161,Y161)</f>
        <v>1.4000224030459638</v>
      </c>
      <c r="AH161">
        <v>3.2801260822747209E-2</v>
      </c>
      <c r="AJ161">
        <f t="array" ref="AJ161:AM161">Canay(T161,AB161,S161,V161,AG161,AH161)</f>
        <v>0.26571322658032387</v>
      </c>
      <c r="AK161">
        <v>0.15745112134688927</v>
      </c>
      <c r="AL161">
        <v>2.9592400756857558</v>
      </c>
      <c r="AM161">
        <v>1.1054262991074393E-2</v>
      </c>
      <c r="AO161" s="1">
        <f t="array" ref="AO161:AR161">Niipt(T161,AB161,S161,V161,X161,Y161)</f>
        <v>0.26663104748451416</v>
      </c>
      <c r="AP161" s="1">
        <v>0.14231740614334473</v>
      </c>
      <c r="AQ161" s="1">
        <v>2.685649912414763</v>
      </c>
      <c r="AR161" s="1">
        <v>1.1137411764705873E-2</v>
      </c>
      <c r="AT161" s="1">
        <f t="shared" si="9"/>
        <v>-0.34541784615032661</v>
      </c>
      <c r="AU161" s="1">
        <f t="shared" si="10"/>
        <v>9.6116909642088917</v>
      </c>
      <c r="AV161" s="1">
        <f t="shared" si="11"/>
        <v>9.2452844741767919</v>
      </c>
      <c r="AW161" s="1">
        <f t="shared" si="12"/>
        <v>-0.75218740225935687</v>
      </c>
    </row>
    <row r="162" spans="1:49" x14ac:dyDescent="0.25">
      <c r="A162" t="s">
        <v>31</v>
      </c>
      <c r="B162" t="s">
        <v>31</v>
      </c>
      <c r="C162">
        <v>60403085</v>
      </c>
      <c r="D162" t="s">
        <v>194</v>
      </c>
      <c r="E162">
        <v>60403085</v>
      </c>
      <c r="F162" t="s">
        <v>34</v>
      </c>
      <c r="G162">
        <v>0</v>
      </c>
      <c r="H162">
        <v>1</v>
      </c>
      <c r="I162">
        <v>60403085</v>
      </c>
      <c r="J162">
        <v>0</v>
      </c>
      <c r="K162">
        <v>0</v>
      </c>
      <c r="L162">
        <v>103.54</v>
      </c>
      <c r="M162">
        <v>49.811771831047295</v>
      </c>
      <c r="N162">
        <v>150</v>
      </c>
      <c r="O162">
        <v>18</v>
      </c>
      <c r="P162">
        <v>0.9</v>
      </c>
      <c r="Q162">
        <v>1</v>
      </c>
      <c r="R162">
        <v>10.67</v>
      </c>
      <c r="S162">
        <v>0.34992000000000001</v>
      </c>
      <c r="T162">
        <v>2.8907280000000002</v>
      </c>
      <c r="U162">
        <v>2.7604799999999994</v>
      </c>
      <c r="V162">
        <v>0.23716799999999999</v>
      </c>
      <c r="W162">
        <v>0.33048</v>
      </c>
      <c r="X162">
        <v>11.9</v>
      </c>
      <c r="Y162">
        <v>0.05</v>
      </c>
      <c r="Z162">
        <v>0.1</v>
      </c>
      <c r="AA162">
        <v>0</v>
      </c>
      <c r="AB162">
        <v>0.18856799999999999</v>
      </c>
      <c r="AC162">
        <v>0</v>
      </c>
      <c r="AD162">
        <v>0</v>
      </c>
      <c r="AE162">
        <v>0</v>
      </c>
      <c r="AG162">
        <f t="array" ref="AG162:AH162">T1T2(T162,S162,V162,X162,Y162)</f>
        <v>1.4261197235343936</v>
      </c>
      <c r="AH162">
        <v>3.4230231916258957E-2</v>
      </c>
      <c r="AJ162">
        <f t="array" ref="AJ162:AM162">Canay(T162,AB162,S162,V162,AG162,AH162)</f>
        <v>0.25429634578528792</v>
      </c>
      <c r="AK162">
        <v>0.18139885360174898</v>
      </c>
      <c r="AL162">
        <v>4.5366117841643145</v>
      </c>
      <c r="AM162">
        <v>6.8058029711177442E-2</v>
      </c>
      <c r="AO162" s="1">
        <f t="array" ref="AO162:AR162">Niipt(T162,AB162,S162,V162,X162,Y162)</f>
        <v>0.25388811307718129</v>
      </c>
      <c r="AP162" s="1">
        <v>0.17159853098699313</v>
      </c>
      <c r="AQ162" s="1">
        <v>4.3925366285507836</v>
      </c>
      <c r="AR162" s="1">
        <v>6.9548275862068965E-2</v>
      </c>
      <c r="AT162" s="1">
        <f t="shared" si="9"/>
        <v>0.16053424080711079</v>
      </c>
      <c r="AU162" s="1">
        <f t="shared" si="10"/>
        <v>5.4026375691832742</v>
      </c>
      <c r="AV162" s="1">
        <f t="shared" si="11"/>
        <v>3.1758317102742981</v>
      </c>
      <c r="AW162" s="1">
        <f t="shared" si="12"/>
        <v>-2.1896698408928121</v>
      </c>
    </row>
    <row r="163" spans="1:49" x14ac:dyDescent="0.25">
      <c r="A163" t="s">
        <v>31</v>
      </c>
      <c r="B163" t="s">
        <v>31</v>
      </c>
      <c r="C163">
        <v>60403087</v>
      </c>
      <c r="D163" t="s">
        <v>195</v>
      </c>
      <c r="E163">
        <v>60403087</v>
      </c>
      <c r="F163" t="s">
        <v>34</v>
      </c>
      <c r="G163">
        <v>0</v>
      </c>
      <c r="H163">
        <v>1</v>
      </c>
      <c r="I163">
        <v>60403087</v>
      </c>
      <c r="J163">
        <v>0</v>
      </c>
      <c r="K163">
        <v>0</v>
      </c>
      <c r="L163">
        <v>105.39</v>
      </c>
      <c r="M163">
        <v>71.442323754105985</v>
      </c>
      <c r="N163">
        <v>150</v>
      </c>
      <c r="O163">
        <v>18</v>
      </c>
      <c r="P163">
        <v>0.9</v>
      </c>
      <c r="Q163">
        <v>1</v>
      </c>
      <c r="R163">
        <v>10.67</v>
      </c>
      <c r="S163">
        <v>0.34992000000000001</v>
      </c>
      <c r="T163">
        <v>2.8907280000000002</v>
      </c>
      <c r="U163">
        <v>2.7604799999999994</v>
      </c>
      <c r="V163">
        <v>0.23716799999999999</v>
      </c>
      <c r="W163">
        <v>0.33048</v>
      </c>
      <c r="X163">
        <v>11.9</v>
      </c>
      <c r="Y163">
        <v>0.05</v>
      </c>
      <c r="Z163">
        <v>0.1</v>
      </c>
      <c r="AA163">
        <v>0</v>
      </c>
      <c r="AB163">
        <v>0.18856799999999999</v>
      </c>
      <c r="AC163">
        <v>0</v>
      </c>
      <c r="AD163">
        <v>0</v>
      </c>
      <c r="AE163">
        <v>0</v>
      </c>
      <c r="AG163">
        <f t="array" ref="AG163:AH163">T1T2(T163,S163,V163,X163,Y163)</f>
        <v>1.4261197235343936</v>
      </c>
      <c r="AH163">
        <v>3.4230231916258957E-2</v>
      </c>
      <c r="AJ163">
        <f t="array" ref="AJ163:AM163">Canay(T163,AB163,S163,V163,AG163,AH163)</f>
        <v>0.25429634578528792</v>
      </c>
      <c r="AK163">
        <v>0.18139885360174898</v>
      </c>
      <c r="AL163">
        <v>4.5366117841643145</v>
      </c>
      <c r="AM163">
        <v>6.8058029711177442E-2</v>
      </c>
      <c r="AO163" s="1">
        <f t="array" ref="AO163:AR163">Niipt(T163,AB163,S163,V163,X163,Y163)</f>
        <v>0.25388811307718129</v>
      </c>
      <c r="AP163" s="1">
        <v>0.17159853098699313</v>
      </c>
      <c r="AQ163" s="1">
        <v>4.3925366285507836</v>
      </c>
      <c r="AR163" s="1">
        <v>6.9548275862068965E-2</v>
      </c>
      <c r="AT163" s="1">
        <f t="shared" si="9"/>
        <v>0.16053424080711079</v>
      </c>
      <c r="AU163" s="1">
        <f t="shared" si="10"/>
        <v>5.4026375691832742</v>
      </c>
      <c r="AV163" s="1">
        <f t="shared" si="11"/>
        <v>3.1758317102742981</v>
      </c>
      <c r="AW163" s="1">
        <f t="shared" si="12"/>
        <v>-2.1896698408928121</v>
      </c>
    </row>
    <row r="164" spans="1:49" x14ac:dyDescent="0.25">
      <c r="A164" t="s">
        <v>31</v>
      </c>
      <c r="B164" t="s">
        <v>31</v>
      </c>
      <c r="C164">
        <v>60403088</v>
      </c>
      <c r="D164" t="s">
        <v>196</v>
      </c>
      <c r="E164">
        <v>60403088</v>
      </c>
      <c r="F164" t="s">
        <v>34</v>
      </c>
      <c r="G164">
        <v>0</v>
      </c>
      <c r="H164">
        <v>1</v>
      </c>
      <c r="I164">
        <v>60403088</v>
      </c>
      <c r="J164">
        <v>0</v>
      </c>
      <c r="K164">
        <v>0</v>
      </c>
      <c r="L164">
        <v>52.85</v>
      </c>
      <c r="M164">
        <v>73.593269620972393</v>
      </c>
      <c r="N164">
        <v>150</v>
      </c>
      <c r="O164">
        <v>18</v>
      </c>
      <c r="P164">
        <v>0.9</v>
      </c>
      <c r="Q164">
        <v>1</v>
      </c>
      <c r="R164">
        <v>10.67</v>
      </c>
      <c r="S164">
        <v>0.34992000000000001</v>
      </c>
      <c r="T164">
        <v>2.8907280000000002</v>
      </c>
      <c r="U164">
        <v>2.7604799999999994</v>
      </c>
      <c r="V164">
        <v>0.23716799999999999</v>
      </c>
      <c r="W164">
        <v>0.33048</v>
      </c>
      <c r="X164">
        <v>11.9</v>
      </c>
      <c r="Y164">
        <v>0.05</v>
      </c>
      <c r="Z164">
        <v>0.1</v>
      </c>
      <c r="AA164">
        <v>0</v>
      </c>
      <c r="AB164">
        <v>0.18856799999999999</v>
      </c>
      <c r="AC164">
        <v>0</v>
      </c>
      <c r="AD164">
        <v>0</v>
      </c>
      <c r="AE164">
        <v>0</v>
      </c>
      <c r="AG164">
        <f t="array" ref="AG164:AH164">T1T2(T164,S164,V164,X164,Y164)</f>
        <v>1.4261197235343936</v>
      </c>
      <c r="AH164">
        <v>3.4230231916258957E-2</v>
      </c>
      <c r="AJ164">
        <f t="array" ref="AJ164:AM164">Canay(T164,AB164,S164,V164,AG164,AH164)</f>
        <v>0.25429634578528792</v>
      </c>
      <c r="AK164">
        <v>0.18139885360174898</v>
      </c>
      <c r="AL164">
        <v>4.5366117841643145</v>
      </c>
      <c r="AM164">
        <v>6.8058029711177442E-2</v>
      </c>
      <c r="AO164" s="1">
        <f t="array" ref="AO164:AR164">Niipt(T164,AB164,S164,V164,X164,Y164)</f>
        <v>0.25388811307718129</v>
      </c>
      <c r="AP164" s="1">
        <v>0.17159853098699313</v>
      </c>
      <c r="AQ164" s="1">
        <v>4.3925366285507836</v>
      </c>
      <c r="AR164" s="1">
        <v>6.9548275862068965E-2</v>
      </c>
      <c r="AT164" s="1">
        <f t="shared" si="9"/>
        <v>0.16053424080711079</v>
      </c>
      <c r="AU164" s="1">
        <f t="shared" si="10"/>
        <v>5.4026375691832742</v>
      </c>
      <c r="AV164" s="1">
        <f t="shared" si="11"/>
        <v>3.1758317102742981</v>
      </c>
      <c r="AW164" s="1">
        <f t="shared" si="12"/>
        <v>-2.1896698408928121</v>
      </c>
    </row>
    <row r="165" spans="1:49" x14ac:dyDescent="0.25">
      <c r="A165" t="s">
        <v>31</v>
      </c>
      <c r="B165" t="s">
        <v>31</v>
      </c>
      <c r="C165">
        <v>60403089</v>
      </c>
      <c r="D165" t="s">
        <v>197</v>
      </c>
      <c r="E165">
        <v>60403089</v>
      </c>
      <c r="F165" t="s">
        <v>34</v>
      </c>
      <c r="G165">
        <v>0</v>
      </c>
      <c r="H165">
        <v>1</v>
      </c>
      <c r="I165">
        <v>60403089</v>
      </c>
      <c r="J165">
        <v>0</v>
      </c>
      <c r="K165">
        <v>0</v>
      </c>
      <c r="L165">
        <v>107.32</v>
      </c>
      <c r="M165">
        <v>65.984018876897281</v>
      </c>
      <c r="N165">
        <v>150</v>
      </c>
      <c r="O165">
        <v>18</v>
      </c>
      <c r="P165">
        <v>0.9</v>
      </c>
      <c r="Q165">
        <v>1</v>
      </c>
      <c r="R165">
        <v>10.67</v>
      </c>
      <c r="S165">
        <v>0.34992000000000001</v>
      </c>
      <c r="T165">
        <v>2.8907280000000002</v>
      </c>
      <c r="U165">
        <v>2.7604799999999994</v>
      </c>
      <c r="V165">
        <v>0.23716799999999999</v>
      </c>
      <c r="W165">
        <v>0.33048</v>
      </c>
      <c r="X165">
        <v>11.9</v>
      </c>
      <c r="Y165">
        <v>0.05</v>
      </c>
      <c r="Z165">
        <v>0.1</v>
      </c>
      <c r="AA165">
        <v>0</v>
      </c>
      <c r="AB165">
        <v>0.18856799999999999</v>
      </c>
      <c r="AC165">
        <v>0</v>
      </c>
      <c r="AD165">
        <v>0</v>
      </c>
      <c r="AE165">
        <v>0</v>
      </c>
      <c r="AG165">
        <f t="array" ref="AG165:AH165">T1T2(T165,S165,V165,X165,Y165)</f>
        <v>1.4261197235343936</v>
      </c>
      <c r="AH165">
        <v>3.4230231916258957E-2</v>
      </c>
      <c r="AJ165">
        <f t="array" ref="AJ165:AM165">Canay(T165,AB165,S165,V165,AG165,AH165)</f>
        <v>0.25429634578528792</v>
      </c>
      <c r="AK165">
        <v>0.18139885360174898</v>
      </c>
      <c r="AL165">
        <v>4.5366117841643145</v>
      </c>
      <c r="AM165">
        <v>6.8058029711177442E-2</v>
      </c>
      <c r="AO165" s="1">
        <f t="array" ref="AO165:AR165">Niipt(T165,AB165,S165,V165,X165,Y165)</f>
        <v>0.25388811307718129</v>
      </c>
      <c r="AP165" s="1">
        <v>0.17159853098699313</v>
      </c>
      <c r="AQ165" s="1">
        <v>4.3925366285507836</v>
      </c>
      <c r="AR165" s="1">
        <v>6.9548275862068965E-2</v>
      </c>
      <c r="AT165" s="1">
        <f t="shared" si="9"/>
        <v>0.16053424080711079</v>
      </c>
      <c r="AU165" s="1">
        <f t="shared" si="10"/>
        <v>5.4026375691832742</v>
      </c>
      <c r="AV165" s="1">
        <f t="shared" si="11"/>
        <v>3.1758317102742981</v>
      </c>
      <c r="AW165" s="1">
        <f t="shared" si="12"/>
        <v>-2.1896698408928121</v>
      </c>
    </row>
    <row r="166" spans="1:49" x14ac:dyDescent="0.25">
      <c r="A166" t="s">
        <v>31</v>
      </c>
      <c r="B166" t="s">
        <v>31</v>
      </c>
      <c r="C166">
        <v>60403312</v>
      </c>
      <c r="D166" t="s">
        <v>198</v>
      </c>
      <c r="E166">
        <v>60403312</v>
      </c>
      <c r="F166" t="s">
        <v>34</v>
      </c>
      <c r="G166">
        <v>0</v>
      </c>
      <c r="H166">
        <v>1</v>
      </c>
      <c r="I166">
        <v>60403312</v>
      </c>
      <c r="J166">
        <v>0</v>
      </c>
      <c r="K166">
        <v>0</v>
      </c>
      <c r="L166">
        <v>56.05</v>
      </c>
      <c r="M166">
        <v>48.949350000000003</v>
      </c>
      <c r="N166">
        <v>60</v>
      </c>
      <c r="O166">
        <v>6.3</v>
      </c>
      <c r="P166">
        <v>0.8</v>
      </c>
      <c r="Q166">
        <v>1</v>
      </c>
      <c r="R166">
        <v>8.49</v>
      </c>
      <c r="S166">
        <v>0.14552999999999996</v>
      </c>
      <c r="T166">
        <v>1.0134179999999997</v>
      </c>
      <c r="U166">
        <v>0.91181160000000006</v>
      </c>
      <c r="V166">
        <v>9.525599999999998E-2</v>
      </c>
      <c r="W166">
        <v>0.1047816</v>
      </c>
      <c r="X166">
        <v>6.09</v>
      </c>
      <c r="Y166">
        <v>0.16700000000000001</v>
      </c>
      <c r="Z166">
        <v>0.5</v>
      </c>
      <c r="AA166">
        <v>0</v>
      </c>
      <c r="AB166">
        <v>9.4197599999999992E-2</v>
      </c>
      <c r="AC166">
        <v>0</v>
      </c>
      <c r="AD166">
        <v>0</v>
      </c>
      <c r="AE166">
        <v>0</v>
      </c>
      <c r="AG166">
        <f t="array" ref="AG166:AH166">T1T2(T166,S166,V166,X166,Y166)</f>
        <v>0.82028222086366864</v>
      </c>
      <c r="AH166">
        <v>0.11653977948922194</v>
      </c>
      <c r="AJ166">
        <f t="array" ref="AJ166:AM166">Canay(T166,AB166,S166,V166,AG166,AH166)</f>
        <v>0.28052710072230586</v>
      </c>
      <c r="AK166">
        <v>0.10901862608118194</v>
      </c>
      <c r="AL166">
        <v>0.35510267007786567</v>
      </c>
      <c r="AM166">
        <v>1.0700202521912803E-3</v>
      </c>
      <c r="AO166" s="1">
        <f t="array" ref="AO166:AR166">Niipt(T166,AB166,S166,V166,X166,Y166)</f>
        <v>0</v>
      </c>
      <c r="AP166" s="1">
        <v>0</v>
      </c>
      <c r="AQ166" s="1">
        <v>0</v>
      </c>
      <c r="AR166" s="1">
        <v>0</v>
      </c>
      <c r="AT166" s="1">
        <f t="shared" si="9"/>
        <v>0</v>
      </c>
      <c r="AU166" s="1">
        <f t="shared" si="10"/>
        <v>0</v>
      </c>
      <c r="AV166" s="1">
        <f t="shared" si="11"/>
        <v>0</v>
      </c>
      <c r="AW166" s="1">
        <f t="shared" si="12"/>
        <v>0</v>
      </c>
    </row>
    <row r="167" spans="1:49" x14ac:dyDescent="0.25">
      <c r="A167" t="s">
        <v>31</v>
      </c>
      <c r="B167" t="s">
        <v>31</v>
      </c>
      <c r="C167">
        <v>60403326</v>
      </c>
      <c r="D167" t="s">
        <v>199</v>
      </c>
      <c r="E167">
        <v>60403326</v>
      </c>
      <c r="F167" t="s">
        <v>34</v>
      </c>
      <c r="G167">
        <v>0</v>
      </c>
      <c r="H167">
        <v>1</v>
      </c>
      <c r="I167">
        <v>60403326</v>
      </c>
      <c r="J167">
        <v>0</v>
      </c>
      <c r="K167">
        <v>0</v>
      </c>
      <c r="L167">
        <v>52.53</v>
      </c>
      <c r="M167">
        <v>50.571407547169791</v>
      </c>
      <c r="N167">
        <v>53</v>
      </c>
      <c r="O167">
        <v>6.3</v>
      </c>
      <c r="P167">
        <v>0.8</v>
      </c>
      <c r="Q167">
        <v>1</v>
      </c>
      <c r="R167">
        <v>5.13</v>
      </c>
      <c r="S167">
        <v>0.16475094339622601</v>
      </c>
      <c r="T167">
        <v>1.1472656603773599</v>
      </c>
      <c r="U167">
        <v>1.0322395471698098</v>
      </c>
      <c r="V167">
        <v>0.12161615094339601</v>
      </c>
      <c r="W167">
        <v>0.118620679245283</v>
      </c>
      <c r="X167">
        <v>6.09</v>
      </c>
      <c r="Y167">
        <v>0.16700000000000001</v>
      </c>
      <c r="Z167">
        <v>0.5</v>
      </c>
      <c r="AA167">
        <v>0</v>
      </c>
      <c r="AB167">
        <v>0.10663879245283001</v>
      </c>
      <c r="AC167">
        <v>0</v>
      </c>
      <c r="AD167">
        <v>0</v>
      </c>
      <c r="AE167">
        <v>0</v>
      </c>
      <c r="AG167">
        <f t="array" ref="AG167:AH167">T1T2(T167,S167,V167,X167,Y167)</f>
        <v>0.83412156853807495</v>
      </c>
      <c r="AH167">
        <v>0.12925033343829334</v>
      </c>
      <c r="AJ167">
        <f t="array" ref="AJ167:AM167">Canay(T167,AB167,S167,V167,AG167,AH167)</f>
        <v>0.29118506502195118</v>
      </c>
      <c r="AK167">
        <v>0.11142227258721681</v>
      </c>
      <c r="AL167">
        <v>0.45997995827530774</v>
      </c>
      <c r="AM167">
        <v>1.759583769885379E-2</v>
      </c>
      <c r="AO167" s="1">
        <f t="array" ref="AO167:AR167">Niipt(T167,AB167,S167,V167,X167,Y167)</f>
        <v>0</v>
      </c>
      <c r="AP167" s="1">
        <v>0</v>
      </c>
      <c r="AQ167" s="1">
        <v>0</v>
      </c>
      <c r="AR167" s="1">
        <v>0</v>
      </c>
      <c r="AT167" s="1">
        <f t="shared" si="9"/>
        <v>0</v>
      </c>
      <c r="AU167" s="1">
        <f t="shared" si="10"/>
        <v>0</v>
      </c>
      <c r="AV167" s="1">
        <f t="shared" si="11"/>
        <v>0</v>
      </c>
      <c r="AW167" s="1">
        <f t="shared" si="12"/>
        <v>0</v>
      </c>
    </row>
    <row r="168" spans="1:49" x14ac:dyDescent="0.25">
      <c r="A168" t="s">
        <v>31</v>
      </c>
      <c r="B168" t="s">
        <v>31</v>
      </c>
      <c r="C168">
        <v>60403322</v>
      </c>
      <c r="D168" t="s">
        <v>200</v>
      </c>
      <c r="E168">
        <v>60403322</v>
      </c>
      <c r="F168" t="s">
        <v>34</v>
      </c>
      <c r="G168">
        <v>0</v>
      </c>
      <c r="H168">
        <v>1</v>
      </c>
      <c r="I168">
        <v>60403322</v>
      </c>
      <c r="J168">
        <v>0</v>
      </c>
      <c r="K168">
        <v>0</v>
      </c>
      <c r="L168">
        <v>153.19999999999999</v>
      </c>
      <c r="M168">
        <v>54.331606089092595</v>
      </c>
      <c r="N168">
        <v>185</v>
      </c>
      <c r="O168">
        <v>15.8</v>
      </c>
      <c r="P168">
        <v>0.85</v>
      </c>
      <c r="Q168">
        <v>1</v>
      </c>
      <c r="R168">
        <v>7.91</v>
      </c>
      <c r="S168">
        <v>0.40603608648648692</v>
      </c>
      <c r="T168">
        <v>2.3926307243243197</v>
      </c>
      <c r="U168">
        <v>2.1529088540540502</v>
      </c>
      <c r="V168">
        <v>0.26724974054054096</v>
      </c>
      <c r="W168">
        <v>0.48059073513513501</v>
      </c>
      <c r="X168">
        <v>6.4729999999999999</v>
      </c>
      <c r="Y168">
        <v>0.40199999999999997</v>
      </c>
      <c r="Z168">
        <v>0.24199999999999997</v>
      </c>
      <c r="AA168">
        <v>0</v>
      </c>
      <c r="AB168">
        <v>7.57016432432433E-2</v>
      </c>
      <c r="AC168">
        <v>0</v>
      </c>
      <c r="AD168">
        <v>0</v>
      </c>
      <c r="AE168">
        <v>0</v>
      </c>
      <c r="AG168">
        <f t="array" ref="AG168:AH168">T1T2(T168,S168,V168,X168,Y168)</f>
        <v>0.95756874883383147</v>
      </c>
      <c r="AH168">
        <v>0.30353118193038836</v>
      </c>
      <c r="AJ168">
        <f t="array" ref="AJ168:AM168">Canay(T168,AB168,S168,V168,AG168,AH168)</f>
        <v>0.54619887573054149</v>
      </c>
      <c r="AK168">
        <v>0.44411271787057355</v>
      </c>
      <c r="AL168">
        <v>1.4895940303006727</v>
      </c>
      <c r="AM168">
        <v>0.39411437598551585</v>
      </c>
      <c r="AO168" s="1">
        <f t="array" ref="AO168:AR168">Niipt(T168,AB168,S168,V168,X168,Y168)</f>
        <v>0.53380285769644964</v>
      </c>
      <c r="AP168" s="1">
        <v>0.38526303426752451</v>
      </c>
      <c r="AQ168" s="1">
        <v>1.5295534020159345</v>
      </c>
      <c r="AR168" s="1">
        <v>0.45591613241009737</v>
      </c>
      <c r="AT168" s="1">
        <f t="shared" si="9"/>
        <v>2.2695063254226153</v>
      </c>
      <c r="AU168" s="1">
        <f t="shared" si="10"/>
        <v>13.251069207209559</v>
      </c>
      <c r="AV168" s="1">
        <f t="shared" si="11"/>
        <v>-2.6825679280680261</v>
      </c>
      <c r="AW168" s="1">
        <f t="shared" si="12"/>
        <v>-15.681172824523612</v>
      </c>
    </row>
    <row r="169" spans="1:49" x14ac:dyDescent="0.25">
      <c r="A169" t="s">
        <v>31</v>
      </c>
      <c r="B169" t="s">
        <v>31</v>
      </c>
      <c r="C169">
        <v>60403318</v>
      </c>
      <c r="D169" t="s">
        <v>201</v>
      </c>
      <c r="E169">
        <v>60403318</v>
      </c>
      <c r="F169" t="s">
        <v>34</v>
      </c>
      <c r="G169">
        <v>0</v>
      </c>
      <c r="H169">
        <v>1</v>
      </c>
      <c r="I169">
        <v>60403318</v>
      </c>
      <c r="J169">
        <v>0</v>
      </c>
      <c r="K169">
        <v>0</v>
      </c>
      <c r="L169">
        <v>150.41</v>
      </c>
      <c r="M169">
        <v>149.90407767825599</v>
      </c>
      <c r="N169">
        <v>175</v>
      </c>
      <c r="O169">
        <v>15.8</v>
      </c>
      <c r="P169">
        <v>0.85</v>
      </c>
      <c r="Q169">
        <v>1</v>
      </c>
      <c r="R169">
        <v>8.0499999999999989</v>
      </c>
      <c r="S169">
        <v>0.40983755428571395</v>
      </c>
      <c r="T169">
        <v>2.4141614514285701</v>
      </c>
      <c r="U169">
        <v>2.1728665599999997</v>
      </c>
      <c r="V169">
        <v>0.270395782857143</v>
      </c>
      <c r="W169">
        <v>0.48501485714285703</v>
      </c>
      <c r="X169">
        <v>6.4729999999999999</v>
      </c>
      <c r="Y169">
        <v>0.40199999999999997</v>
      </c>
      <c r="Z169">
        <v>0.24199999999999997</v>
      </c>
      <c r="AA169">
        <v>0</v>
      </c>
      <c r="AB169">
        <v>7.6389840000000001E-2</v>
      </c>
      <c r="AC169">
        <v>0</v>
      </c>
      <c r="AD169">
        <v>0</v>
      </c>
      <c r="AE169">
        <v>0</v>
      </c>
      <c r="AG169">
        <f t="array" ref="AG169:AH169">T1T2(T169,S169,V169,X169,Y169)</f>
        <v>0.9587552466978787</v>
      </c>
      <c r="AH169">
        <v>0.30398874857599212</v>
      </c>
      <c r="AJ169">
        <f t="array" ref="AJ169:AM169">Canay(T169,AB169,S169,V169,AG169,AH169)</f>
        <v>0.55019350908769937</v>
      </c>
      <c r="AK169">
        <v>0.44791168612360799</v>
      </c>
      <c r="AL169">
        <v>1.5115112990937232</v>
      </c>
      <c r="AM169">
        <v>0.40093971772008025</v>
      </c>
      <c r="AO169" s="1">
        <f t="array" ref="AO169:AR169">Niipt(T169,AB169,S169,V169,X169,Y169)</f>
        <v>0.53753957730792867</v>
      </c>
      <c r="AP169" s="1">
        <v>0.38892147195575094</v>
      </c>
      <c r="AQ169" s="1">
        <v>1.5543783878092887</v>
      </c>
      <c r="AR169" s="1">
        <v>0.46392725465838647</v>
      </c>
      <c r="AT169" s="1">
        <f t="shared" si="9"/>
        <v>2.2999056824121307</v>
      </c>
      <c r="AU169" s="1">
        <f t="shared" si="10"/>
        <v>13.170054721809112</v>
      </c>
      <c r="AV169" s="1">
        <f t="shared" si="11"/>
        <v>-2.8360415658995031</v>
      </c>
      <c r="AW169" s="1">
        <f t="shared" si="12"/>
        <v>-15.709976875446785</v>
      </c>
    </row>
    <row r="170" spans="1:49" x14ac:dyDescent="0.25">
      <c r="A170" t="s">
        <v>31</v>
      </c>
      <c r="B170" t="s">
        <v>31</v>
      </c>
      <c r="C170">
        <v>60403315</v>
      </c>
      <c r="D170" t="s">
        <v>202</v>
      </c>
      <c r="E170">
        <v>60403315</v>
      </c>
      <c r="F170" t="s">
        <v>34</v>
      </c>
      <c r="G170">
        <v>0</v>
      </c>
      <c r="H170">
        <v>1</v>
      </c>
      <c r="I170">
        <v>60403315</v>
      </c>
      <c r="J170">
        <v>0</v>
      </c>
      <c r="K170">
        <v>0</v>
      </c>
      <c r="L170">
        <v>163.97</v>
      </c>
      <c r="M170">
        <v>128.24302612053899</v>
      </c>
      <c r="N170">
        <v>175</v>
      </c>
      <c r="O170">
        <v>15.8</v>
      </c>
      <c r="P170">
        <v>0.85</v>
      </c>
      <c r="Q170">
        <v>1</v>
      </c>
      <c r="R170">
        <v>8.19</v>
      </c>
      <c r="S170">
        <v>0.39043696</v>
      </c>
      <c r="T170">
        <v>2.2989704228571402</v>
      </c>
      <c r="U170">
        <v>2.0685883657142901</v>
      </c>
      <c r="V170">
        <v>0.25705787428571403</v>
      </c>
      <c r="W170">
        <v>0.46197665142857092</v>
      </c>
      <c r="X170">
        <v>6.4729999999999999</v>
      </c>
      <c r="Y170">
        <v>0.40199999999999997</v>
      </c>
      <c r="Z170">
        <v>0.24199999999999997</v>
      </c>
      <c r="AA170">
        <v>0</v>
      </c>
      <c r="AB170">
        <v>7.2752228571428587E-2</v>
      </c>
      <c r="AC170">
        <v>0</v>
      </c>
      <c r="AD170">
        <v>0</v>
      </c>
      <c r="AE170">
        <v>0</v>
      </c>
      <c r="AG170">
        <f t="array" ref="AG170:AH170">T1T2(T170,S170,V170,X170,Y170)</f>
        <v>0.95854060179201883</v>
      </c>
      <c r="AH170">
        <v>0.30354191843371475</v>
      </c>
      <c r="AJ170">
        <f t="array" ref="AJ170:AM170">Canay(T170,AB170,S170,V170,AG170,AH170)</f>
        <v>0.52453796815316356</v>
      </c>
      <c r="AK170">
        <v>0.42697392536864631</v>
      </c>
      <c r="AL170">
        <v>1.4342383315512226</v>
      </c>
      <c r="AM170">
        <v>0.37957663550416548</v>
      </c>
      <c r="AO170" s="1">
        <f t="array" ref="AO170:AR170">Niipt(T170,AB170,S170,V170,X170,Y170)</f>
        <v>0.51262510287460783</v>
      </c>
      <c r="AP170" s="1">
        <v>0.37056490908694867</v>
      </c>
      <c r="AQ170" s="1">
        <v>1.4730215329800402</v>
      </c>
      <c r="AR170" s="1">
        <v>0.43898253797402426</v>
      </c>
      <c r="AT170" s="1">
        <f t="shared" si="9"/>
        <v>2.2711159156885299</v>
      </c>
      <c r="AU170" s="1">
        <f t="shared" si="10"/>
        <v>13.211349201943538</v>
      </c>
      <c r="AV170" s="1">
        <f t="shared" si="11"/>
        <v>-2.7040973996888695</v>
      </c>
      <c r="AW170" s="1">
        <f t="shared" si="12"/>
        <v>-15.65056879514041</v>
      </c>
    </row>
    <row r="171" spans="1:49" x14ac:dyDescent="0.25">
      <c r="A171" t="s">
        <v>31</v>
      </c>
      <c r="B171" t="s">
        <v>31</v>
      </c>
      <c r="C171">
        <v>60403043</v>
      </c>
      <c r="D171" t="s">
        <v>203</v>
      </c>
      <c r="E171">
        <v>60403043</v>
      </c>
      <c r="F171" t="s">
        <v>34</v>
      </c>
      <c r="G171">
        <v>0</v>
      </c>
      <c r="H171">
        <v>1</v>
      </c>
      <c r="I171">
        <v>60403043</v>
      </c>
      <c r="J171">
        <v>0</v>
      </c>
      <c r="K171">
        <v>0</v>
      </c>
      <c r="L171">
        <v>74.739999999999995</v>
      </c>
      <c r="M171">
        <v>58.2163719563085</v>
      </c>
      <c r="N171">
        <v>82.8</v>
      </c>
      <c r="O171">
        <v>13.8</v>
      </c>
      <c r="P171">
        <v>0.8</v>
      </c>
      <c r="Q171">
        <v>1</v>
      </c>
      <c r="R171">
        <v>9.6439999999999984</v>
      </c>
      <c r="S171">
        <v>0.66239999999999999</v>
      </c>
      <c r="T171">
        <v>1.6743999999999999</v>
      </c>
      <c r="U171">
        <v>1.1408</v>
      </c>
      <c r="V171">
        <v>0.44159999999999994</v>
      </c>
      <c r="W171">
        <v>0.44159999999999994</v>
      </c>
      <c r="X171">
        <v>7.22</v>
      </c>
      <c r="Y171">
        <v>7.3999999999999982E-2</v>
      </c>
      <c r="Z171">
        <v>0.5</v>
      </c>
      <c r="AA171">
        <v>0</v>
      </c>
      <c r="AB171">
        <v>0.36247999999999997</v>
      </c>
      <c r="AC171">
        <v>0</v>
      </c>
      <c r="AD171">
        <v>0</v>
      </c>
      <c r="AE171">
        <v>0</v>
      </c>
      <c r="AG171">
        <f t="array" ref="AG171:AH171">T1T2(T171,S171,V171,X171,Y171)</f>
        <v>2.841119803276845</v>
      </c>
      <c r="AH171">
        <v>4.9596293273691416E-2</v>
      </c>
      <c r="AJ171">
        <f t="array" ref="AJ171:AM171">Canay(T171,AB171,S171,V171,AG171,AH171)</f>
        <v>0.24386088796054772</v>
      </c>
      <c r="AK171">
        <v>0.40349876529785078</v>
      </c>
      <c r="AL171">
        <v>5.4638059865494686</v>
      </c>
      <c r="AM171">
        <v>0.10640034922719824</v>
      </c>
      <c r="AO171" s="1">
        <f t="array" ref="AO171:AR171">Niipt(T171,AB171,S171,V171,X171,Y171)</f>
        <v>0.24195225755136146</v>
      </c>
      <c r="AP171" s="1">
        <v>0.38880538181818186</v>
      </c>
      <c r="AQ171" s="1">
        <v>5.3597851735513293</v>
      </c>
      <c r="AR171" s="1">
        <v>0.10747133333333327</v>
      </c>
      <c r="AT171" s="1">
        <f t="shared" si="9"/>
        <v>0.78267180323523</v>
      </c>
      <c r="AU171" s="1">
        <f t="shared" si="10"/>
        <v>3.6414940374904745</v>
      </c>
      <c r="AV171" s="1">
        <f t="shared" si="11"/>
        <v>1.9038160076366661</v>
      </c>
      <c r="AW171" s="1">
        <f t="shared" si="12"/>
        <v>-1.0065607057812753</v>
      </c>
    </row>
    <row r="172" spans="1:49" x14ac:dyDescent="0.25">
      <c r="A172" t="s">
        <v>31</v>
      </c>
      <c r="B172" t="s">
        <v>31</v>
      </c>
      <c r="C172">
        <v>60403026</v>
      </c>
      <c r="D172" t="s">
        <v>204</v>
      </c>
      <c r="E172">
        <v>60403026</v>
      </c>
      <c r="F172" t="s">
        <v>34</v>
      </c>
      <c r="G172">
        <v>0</v>
      </c>
      <c r="H172">
        <v>1</v>
      </c>
      <c r="I172">
        <v>60403026</v>
      </c>
      <c r="J172">
        <v>0</v>
      </c>
      <c r="K172">
        <v>0</v>
      </c>
      <c r="L172">
        <v>75.180000000000007</v>
      </c>
      <c r="M172">
        <v>38.284553273365695</v>
      </c>
      <c r="N172">
        <v>82.8</v>
      </c>
      <c r="O172">
        <v>13.8</v>
      </c>
      <c r="P172">
        <v>0.8</v>
      </c>
      <c r="Q172">
        <v>1</v>
      </c>
      <c r="R172">
        <v>9.6439999999999984</v>
      </c>
      <c r="S172">
        <v>0.66239999999999999</v>
      </c>
      <c r="T172">
        <v>1.6743999999999999</v>
      </c>
      <c r="U172">
        <v>1.1408</v>
      </c>
      <c r="V172">
        <v>0.44159999999999994</v>
      </c>
      <c r="W172">
        <v>0.44159999999999994</v>
      </c>
      <c r="X172">
        <v>7.22</v>
      </c>
      <c r="Y172">
        <v>7.3999999999999982E-2</v>
      </c>
      <c r="Z172">
        <v>0.5</v>
      </c>
      <c r="AA172">
        <v>0</v>
      </c>
      <c r="AB172">
        <v>0.36247999999999997</v>
      </c>
      <c r="AC172">
        <v>0</v>
      </c>
      <c r="AD172">
        <v>0</v>
      </c>
      <c r="AE172">
        <v>0</v>
      </c>
      <c r="AG172">
        <f t="array" ref="AG172:AH172">T1T2(T172,S172,V172,X172,Y172)</f>
        <v>2.841119803276845</v>
      </c>
      <c r="AH172">
        <v>4.9596293273691416E-2</v>
      </c>
      <c r="AJ172">
        <f t="array" ref="AJ172:AM172">Canay(T172,AB172,S172,V172,AG172,AH172)</f>
        <v>0.24386088796054772</v>
      </c>
      <c r="AK172">
        <v>0.40349876529785078</v>
      </c>
      <c r="AL172">
        <v>5.4638059865494686</v>
      </c>
      <c r="AM172">
        <v>0.10640034922719824</v>
      </c>
      <c r="AO172" s="1">
        <f t="array" ref="AO172:AR172">Niipt(T172,AB172,S172,V172,X172,Y172)</f>
        <v>0.24195225755136146</v>
      </c>
      <c r="AP172" s="1">
        <v>0.38880538181818186</v>
      </c>
      <c r="AQ172" s="1">
        <v>5.3597851735513293</v>
      </c>
      <c r="AR172" s="1">
        <v>0.10747133333333327</v>
      </c>
      <c r="AT172" s="1">
        <f t="shared" si="9"/>
        <v>0.78267180323523</v>
      </c>
      <c r="AU172" s="1">
        <f t="shared" si="10"/>
        <v>3.6414940374904745</v>
      </c>
      <c r="AV172" s="1">
        <f t="shared" si="11"/>
        <v>1.9038160076366661</v>
      </c>
      <c r="AW172" s="1">
        <f t="shared" si="12"/>
        <v>-1.0065607057812753</v>
      </c>
    </row>
    <row r="173" spans="1:49" x14ac:dyDescent="0.25">
      <c r="A173" t="s">
        <v>31</v>
      </c>
      <c r="B173" t="s">
        <v>31</v>
      </c>
      <c r="C173">
        <v>60403042</v>
      </c>
      <c r="D173" t="s">
        <v>205</v>
      </c>
      <c r="E173">
        <v>60403042</v>
      </c>
      <c r="F173" t="s">
        <v>34</v>
      </c>
      <c r="G173">
        <v>0</v>
      </c>
      <c r="H173">
        <v>1</v>
      </c>
      <c r="I173">
        <v>60403042</v>
      </c>
      <c r="J173">
        <v>0</v>
      </c>
      <c r="K173">
        <v>0</v>
      </c>
      <c r="L173">
        <v>74.69</v>
      </c>
      <c r="M173">
        <v>58.47806163320719</v>
      </c>
      <c r="N173">
        <v>82.8</v>
      </c>
      <c r="O173">
        <v>13.8</v>
      </c>
      <c r="P173">
        <v>0.8</v>
      </c>
      <c r="Q173">
        <v>1</v>
      </c>
      <c r="R173">
        <v>9.6439999999999984</v>
      </c>
      <c r="S173">
        <v>0.66239999999999999</v>
      </c>
      <c r="T173">
        <v>1.6743999999999999</v>
      </c>
      <c r="U173">
        <v>1.1408</v>
      </c>
      <c r="V173">
        <v>0.44159999999999994</v>
      </c>
      <c r="W173">
        <v>0.44159999999999994</v>
      </c>
      <c r="X173">
        <v>7.22</v>
      </c>
      <c r="Y173">
        <v>7.3999999999999982E-2</v>
      </c>
      <c r="Z173">
        <v>0.5</v>
      </c>
      <c r="AA173">
        <v>0</v>
      </c>
      <c r="AB173">
        <v>0.36247999999999997</v>
      </c>
      <c r="AC173">
        <v>0</v>
      </c>
      <c r="AD173">
        <v>0</v>
      </c>
      <c r="AE173">
        <v>0</v>
      </c>
      <c r="AG173">
        <f t="array" ref="AG173:AH173">T1T2(T173,S173,V173,X173,Y173)</f>
        <v>2.841119803276845</v>
      </c>
      <c r="AH173">
        <v>4.9596293273691416E-2</v>
      </c>
      <c r="AJ173">
        <f t="array" ref="AJ173:AM173">Canay(T173,AB173,S173,V173,AG173,AH173)</f>
        <v>0.24386088796054772</v>
      </c>
      <c r="AK173">
        <v>0.40349876529785078</v>
      </c>
      <c r="AL173">
        <v>5.4638059865494686</v>
      </c>
      <c r="AM173">
        <v>0.10640034922719824</v>
      </c>
      <c r="AO173" s="1">
        <f t="array" ref="AO173:AR173">Niipt(T173,AB173,S173,V173,X173,Y173)</f>
        <v>0.24195225755136146</v>
      </c>
      <c r="AP173" s="1">
        <v>0.38880538181818186</v>
      </c>
      <c r="AQ173" s="1">
        <v>5.3597851735513293</v>
      </c>
      <c r="AR173" s="1">
        <v>0.10747133333333327</v>
      </c>
      <c r="AT173" s="1">
        <f t="shared" si="9"/>
        <v>0.78267180323523</v>
      </c>
      <c r="AU173" s="1">
        <f t="shared" si="10"/>
        <v>3.6414940374904745</v>
      </c>
      <c r="AV173" s="1">
        <f t="shared" si="11"/>
        <v>1.9038160076366661</v>
      </c>
      <c r="AW173" s="1">
        <f t="shared" si="12"/>
        <v>-1.0065607057812753</v>
      </c>
    </row>
    <row r="174" spans="1:49" x14ac:dyDescent="0.25">
      <c r="A174" t="s">
        <v>31</v>
      </c>
      <c r="B174" t="s">
        <v>31</v>
      </c>
      <c r="C174">
        <v>60403041</v>
      </c>
      <c r="D174" t="s">
        <v>206</v>
      </c>
      <c r="E174">
        <v>60403041</v>
      </c>
      <c r="F174" t="s">
        <v>34</v>
      </c>
      <c r="G174">
        <v>0</v>
      </c>
      <c r="H174">
        <v>1</v>
      </c>
      <c r="I174">
        <v>60403041</v>
      </c>
      <c r="J174">
        <v>0</v>
      </c>
      <c r="K174">
        <v>0</v>
      </c>
      <c r="L174">
        <v>74.67</v>
      </c>
      <c r="M174">
        <v>62.979518072289203</v>
      </c>
      <c r="N174">
        <v>82.8</v>
      </c>
      <c r="O174">
        <v>13.8</v>
      </c>
      <c r="P174">
        <v>0.8</v>
      </c>
      <c r="Q174">
        <v>1</v>
      </c>
      <c r="R174">
        <v>9.6439999999999984</v>
      </c>
      <c r="S174">
        <v>0.66239999999999999</v>
      </c>
      <c r="T174">
        <v>1.6743999999999999</v>
      </c>
      <c r="U174">
        <v>1.1408</v>
      </c>
      <c r="V174">
        <v>0.44159999999999994</v>
      </c>
      <c r="W174">
        <v>0.44159999999999994</v>
      </c>
      <c r="X174">
        <v>7.22</v>
      </c>
      <c r="Y174">
        <v>7.3999999999999982E-2</v>
      </c>
      <c r="Z174">
        <v>0.5</v>
      </c>
      <c r="AA174">
        <v>0</v>
      </c>
      <c r="AB174">
        <v>0.36247999999999997</v>
      </c>
      <c r="AC174">
        <v>0</v>
      </c>
      <c r="AD174">
        <v>0</v>
      </c>
      <c r="AE174">
        <v>0</v>
      </c>
      <c r="AG174">
        <f t="array" ref="AG174:AH174">T1T2(T174,S174,V174,X174,Y174)</f>
        <v>2.841119803276845</v>
      </c>
      <c r="AH174">
        <v>4.9596293273691416E-2</v>
      </c>
      <c r="AJ174">
        <f t="array" ref="AJ174:AM174">Canay(T174,AB174,S174,V174,AG174,AH174)</f>
        <v>0.24386088796054772</v>
      </c>
      <c r="AK174">
        <v>0.40349876529785078</v>
      </c>
      <c r="AL174">
        <v>5.4638059865494686</v>
      </c>
      <c r="AM174">
        <v>0.10640034922719824</v>
      </c>
      <c r="AO174" s="1">
        <f t="array" ref="AO174:AR174">Niipt(T174,AB174,S174,V174,X174,Y174)</f>
        <v>0.24195225755136146</v>
      </c>
      <c r="AP174" s="1">
        <v>0.38880538181818186</v>
      </c>
      <c r="AQ174" s="1">
        <v>5.3597851735513293</v>
      </c>
      <c r="AR174" s="1">
        <v>0.10747133333333327</v>
      </c>
      <c r="AT174" s="1">
        <f t="shared" si="9"/>
        <v>0.78267180323523</v>
      </c>
      <c r="AU174" s="1">
        <f t="shared" si="10"/>
        <v>3.6414940374904745</v>
      </c>
      <c r="AV174" s="1">
        <f t="shared" si="11"/>
        <v>1.9038160076366661</v>
      </c>
      <c r="AW174" s="1">
        <f t="shared" si="12"/>
        <v>-1.0065607057812753</v>
      </c>
    </row>
    <row r="175" spans="1:49" x14ac:dyDescent="0.25">
      <c r="A175" t="s">
        <v>31</v>
      </c>
      <c r="B175" t="s">
        <v>31</v>
      </c>
      <c r="C175">
        <v>60403389</v>
      </c>
      <c r="D175" t="s">
        <v>207</v>
      </c>
      <c r="E175">
        <v>60403389</v>
      </c>
      <c r="F175" t="s">
        <v>34</v>
      </c>
      <c r="G175">
        <v>0</v>
      </c>
      <c r="H175">
        <v>1</v>
      </c>
      <c r="I175">
        <v>60403389</v>
      </c>
      <c r="J175">
        <v>0</v>
      </c>
      <c r="K175">
        <v>0</v>
      </c>
      <c r="L175">
        <v>74.83</v>
      </c>
      <c r="M175">
        <v>44.34842440154479</v>
      </c>
      <c r="N175">
        <v>82.8</v>
      </c>
      <c r="O175">
        <v>13.8</v>
      </c>
      <c r="P175">
        <v>0.8</v>
      </c>
      <c r="Q175">
        <v>1</v>
      </c>
      <c r="R175">
        <v>9.6439999999999984</v>
      </c>
      <c r="S175">
        <v>0.66239999999999999</v>
      </c>
      <c r="T175">
        <v>1.6743999999999999</v>
      </c>
      <c r="U175">
        <v>1.1408</v>
      </c>
      <c r="V175">
        <v>0.44159999999999994</v>
      </c>
      <c r="W175">
        <v>0.44159999999999994</v>
      </c>
      <c r="X175">
        <v>7.22</v>
      </c>
      <c r="Y175">
        <v>7.3999999999999982E-2</v>
      </c>
      <c r="Z175">
        <v>0.5</v>
      </c>
      <c r="AA175">
        <v>0</v>
      </c>
      <c r="AB175">
        <v>0.36247999999999997</v>
      </c>
      <c r="AC175">
        <v>0</v>
      </c>
      <c r="AD175">
        <v>0</v>
      </c>
      <c r="AE175">
        <v>0</v>
      </c>
      <c r="AG175">
        <f t="array" ref="AG175:AH175">T1T2(T175,S175,V175,X175,Y175)</f>
        <v>2.841119803276845</v>
      </c>
      <c r="AH175">
        <v>4.9596293273691416E-2</v>
      </c>
      <c r="AJ175">
        <f t="array" ref="AJ175:AM175">Canay(T175,AB175,S175,V175,AG175,AH175)</f>
        <v>0.24386088796054772</v>
      </c>
      <c r="AK175">
        <v>0.40349876529785078</v>
      </c>
      <c r="AL175">
        <v>5.4638059865494686</v>
      </c>
      <c r="AM175">
        <v>0.10640034922719824</v>
      </c>
      <c r="AO175" s="1">
        <f t="array" ref="AO175:AR175">Niipt(T175,AB175,S175,V175,X175,Y175)</f>
        <v>0.24195225755136146</v>
      </c>
      <c r="AP175" s="1">
        <v>0.38880538181818186</v>
      </c>
      <c r="AQ175" s="1">
        <v>5.3597851735513293</v>
      </c>
      <c r="AR175" s="1">
        <v>0.10747133333333327</v>
      </c>
      <c r="AT175" s="1">
        <f t="shared" si="9"/>
        <v>0.78267180323523</v>
      </c>
      <c r="AU175" s="1">
        <f t="shared" si="10"/>
        <v>3.6414940374904745</v>
      </c>
      <c r="AV175" s="1">
        <f t="shared" si="11"/>
        <v>1.9038160076366661</v>
      </c>
      <c r="AW175" s="1">
        <f t="shared" si="12"/>
        <v>-1.0065607057812753</v>
      </c>
    </row>
    <row r="176" spans="1:49" x14ac:dyDescent="0.25">
      <c r="A176" t="s">
        <v>31</v>
      </c>
      <c r="B176" t="s">
        <v>32</v>
      </c>
      <c r="C176">
        <v>60403543</v>
      </c>
      <c r="D176" t="s">
        <v>208</v>
      </c>
      <c r="E176">
        <v>60403543</v>
      </c>
      <c r="F176" t="s">
        <v>34</v>
      </c>
      <c r="G176">
        <v>0</v>
      </c>
      <c r="H176">
        <v>1</v>
      </c>
      <c r="I176">
        <v>60403543</v>
      </c>
      <c r="J176">
        <v>0</v>
      </c>
      <c r="K176">
        <v>0</v>
      </c>
      <c r="L176">
        <v>0</v>
      </c>
      <c r="M176">
        <v>0</v>
      </c>
      <c r="N176">
        <v>82.8</v>
      </c>
      <c r="O176">
        <v>13.8</v>
      </c>
      <c r="P176">
        <v>0.8</v>
      </c>
      <c r="Q176">
        <v>1</v>
      </c>
      <c r="R176">
        <v>9.6439999999999984</v>
      </c>
      <c r="S176">
        <v>0.66239999999999999</v>
      </c>
      <c r="T176">
        <v>1.6743999999999999</v>
      </c>
      <c r="U176">
        <v>1.1408</v>
      </c>
      <c r="V176">
        <v>0.44159999999999994</v>
      </c>
      <c r="W176">
        <v>0.44159999999999994</v>
      </c>
      <c r="X176">
        <v>7.22</v>
      </c>
      <c r="Y176">
        <v>7.3999999999999982E-2</v>
      </c>
      <c r="Z176">
        <v>0.5</v>
      </c>
      <c r="AA176">
        <v>0</v>
      </c>
      <c r="AB176">
        <v>0.36247999999999997</v>
      </c>
      <c r="AC176">
        <v>0</v>
      </c>
      <c r="AD176">
        <v>0</v>
      </c>
      <c r="AE176">
        <v>0</v>
      </c>
      <c r="AG176">
        <f t="array" ref="AG176:AH176">T1T2(T176,S176,V176,X176,Y176)</f>
        <v>2.841119803276845</v>
      </c>
      <c r="AH176">
        <v>4.9596293273691416E-2</v>
      </c>
      <c r="AJ176">
        <f t="array" ref="AJ176:AM176">Canay(T176,AB176,S176,V176,AG176,AH176)</f>
        <v>0.24386088796054772</v>
      </c>
      <c r="AK176">
        <v>0.40349876529785078</v>
      </c>
      <c r="AL176">
        <v>5.4638059865494686</v>
      </c>
      <c r="AM176">
        <v>0.10640034922719824</v>
      </c>
      <c r="AO176" s="1">
        <f t="array" ref="AO176:AR176">Niipt(T176,AB176,S176,V176,X176,Y176)</f>
        <v>0.24195225755136146</v>
      </c>
      <c r="AP176" s="1">
        <v>0.38880538181818186</v>
      </c>
      <c r="AQ176" s="1">
        <v>5.3597851735513293</v>
      </c>
      <c r="AR176" s="1">
        <v>0.10747133333333327</v>
      </c>
      <c r="AT176" s="1">
        <f t="shared" si="9"/>
        <v>0.78267180323523</v>
      </c>
      <c r="AU176" s="1">
        <f t="shared" si="10"/>
        <v>3.6414940374904745</v>
      </c>
      <c r="AV176" s="1">
        <f t="shared" si="11"/>
        <v>1.9038160076366661</v>
      </c>
      <c r="AW176" s="1">
        <f t="shared" si="12"/>
        <v>-1.0065607057812753</v>
      </c>
    </row>
    <row r="177" spans="1:49" x14ac:dyDescent="0.25">
      <c r="A177" t="s">
        <v>31</v>
      </c>
      <c r="B177" t="s">
        <v>31</v>
      </c>
      <c r="C177">
        <v>60403033</v>
      </c>
      <c r="D177" t="s">
        <v>209</v>
      </c>
      <c r="E177">
        <v>60403033</v>
      </c>
      <c r="F177" t="s">
        <v>34</v>
      </c>
      <c r="G177">
        <v>0</v>
      </c>
      <c r="H177">
        <v>1</v>
      </c>
      <c r="I177">
        <v>60403033</v>
      </c>
      <c r="J177">
        <v>0</v>
      </c>
      <c r="K177">
        <v>0</v>
      </c>
      <c r="L177">
        <v>74.7</v>
      </c>
      <c r="M177">
        <v>62.975903614457792</v>
      </c>
      <c r="N177">
        <v>82.8</v>
      </c>
      <c r="O177">
        <v>13.8</v>
      </c>
      <c r="P177">
        <v>0.8</v>
      </c>
      <c r="Q177">
        <v>1</v>
      </c>
      <c r="R177">
        <v>9.6439999999999984</v>
      </c>
      <c r="S177">
        <v>0.66239999999999999</v>
      </c>
      <c r="T177">
        <v>1.6743999999999999</v>
      </c>
      <c r="U177">
        <v>1.1408</v>
      </c>
      <c r="V177">
        <v>0.44159999999999994</v>
      </c>
      <c r="W177">
        <v>0.44159999999999994</v>
      </c>
      <c r="X177">
        <v>7.22</v>
      </c>
      <c r="Y177">
        <v>7.3999999999999982E-2</v>
      </c>
      <c r="Z177">
        <v>0.5</v>
      </c>
      <c r="AA177">
        <v>0</v>
      </c>
      <c r="AB177">
        <v>0.36247999999999997</v>
      </c>
      <c r="AC177">
        <v>0</v>
      </c>
      <c r="AD177">
        <v>0</v>
      </c>
      <c r="AE177">
        <v>0</v>
      </c>
      <c r="AG177">
        <f t="array" ref="AG177:AH177">T1T2(T177,S177,V177,X177,Y177)</f>
        <v>2.841119803276845</v>
      </c>
      <c r="AH177">
        <v>4.9596293273691416E-2</v>
      </c>
      <c r="AJ177">
        <f t="array" ref="AJ177:AM177">Canay(T177,AB177,S177,V177,AG177,AH177)</f>
        <v>0.24386088796054772</v>
      </c>
      <c r="AK177">
        <v>0.40349876529785078</v>
      </c>
      <c r="AL177">
        <v>5.4638059865494686</v>
      </c>
      <c r="AM177">
        <v>0.10640034922719824</v>
      </c>
      <c r="AO177" s="1">
        <f t="array" ref="AO177:AR177">Niipt(T177,AB177,S177,V177,X177,Y177)</f>
        <v>0.24195225755136146</v>
      </c>
      <c r="AP177" s="1">
        <v>0.38880538181818186</v>
      </c>
      <c r="AQ177" s="1">
        <v>5.3597851735513293</v>
      </c>
      <c r="AR177" s="1">
        <v>0.10747133333333327</v>
      </c>
      <c r="AT177" s="1">
        <f t="shared" si="9"/>
        <v>0.78267180323523</v>
      </c>
      <c r="AU177" s="1">
        <f t="shared" si="10"/>
        <v>3.6414940374904745</v>
      </c>
      <c r="AV177" s="1">
        <f t="shared" si="11"/>
        <v>1.9038160076366661</v>
      </c>
      <c r="AW177" s="1">
        <f t="shared" si="12"/>
        <v>-1.0065607057812753</v>
      </c>
    </row>
    <row r="178" spans="1:49" x14ac:dyDescent="0.25">
      <c r="A178" t="s">
        <v>31</v>
      </c>
      <c r="B178" t="s">
        <v>31</v>
      </c>
      <c r="C178">
        <v>60403327</v>
      </c>
      <c r="D178" t="s">
        <v>210</v>
      </c>
      <c r="E178">
        <v>60403327</v>
      </c>
      <c r="F178" t="s">
        <v>34</v>
      </c>
      <c r="G178">
        <v>0</v>
      </c>
      <c r="H178">
        <v>1</v>
      </c>
      <c r="I178">
        <v>60403327</v>
      </c>
      <c r="J178">
        <v>0</v>
      </c>
      <c r="K178">
        <v>0</v>
      </c>
      <c r="L178">
        <v>49.94</v>
      </c>
      <c r="M178">
        <v>33.092041053480692</v>
      </c>
      <c r="N178">
        <v>60</v>
      </c>
      <c r="O178">
        <v>6.3</v>
      </c>
      <c r="P178">
        <v>0.8</v>
      </c>
      <c r="Q178">
        <v>1</v>
      </c>
      <c r="R178">
        <v>9.41</v>
      </c>
      <c r="S178">
        <v>0.148176</v>
      </c>
      <c r="T178">
        <v>0.85201199999999988</v>
      </c>
      <c r="U178">
        <v>0.78850799999999999</v>
      </c>
      <c r="V178">
        <v>0.10319399999999998</v>
      </c>
      <c r="W178">
        <v>0.1132488</v>
      </c>
      <c r="X178">
        <v>4.9000000000000004</v>
      </c>
      <c r="Y178">
        <v>0.153</v>
      </c>
      <c r="Z178">
        <v>0.5</v>
      </c>
      <c r="AA178">
        <v>0</v>
      </c>
      <c r="AB178">
        <v>8.9963999999999988E-2</v>
      </c>
      <c r="AC178">
        <v>0</v>
      </c>
      <c r="AD178">
        <v>0</v>
      </c>
      <c r="AE178">
        <v>0</v>
      </c>
      <c r="AG178">
        <f t="array" ref="AG178:AH178">T1T2(T178,S178,V178,X178,Y178)</f>
        <v>0.81046084113872896</v>
      </c>
      <c r="AH178">
        <v>0.11203770657871992</v>
      </c>
      <c r="AJ178">
        <f t="array" ref="AJ178:AM178">Canay(T178,AB178,S178,V178,AG178,AH178)</f>
        <v>0.25137389435038765</v>
      </c>
      <c r="AK178">
        <v>0.10118699807078725</v>
      </c>
      <c r="AL178">
        <v>0.48030310447608554</v>
      </c>
      <c r="AM178">
        <v>1.5530158306964224E-2</v>
      </c>
      <c r="AO178" s="1">
        <f t="array" ref="AO178:AR178">Niipt(T178,AB178,S178,V178,X178,Y178)</f>
        <v>0</v>
      </c>
      <c r="AP178" s="1">
        <v>0</v>
      </c>
      <c r="AQ178" s="1">
        <v>0</v>
      </c>
      <c r="AR178" s="1">
        <v>0</v>
      </c>
      <c r="AT178" s="1">
        <f t="shared" si="9"/>
        <v>0</v>
      </c>
      <c r="AU178" s="1">
        <f t="shared" si="10"/>
        <v>0</v>
      </c>
      <c r="AV178" s="1">
        <f t="shared" si="11"/>
        <v>0</v>
      </c>
      <c r="AW178" s="1">
        <f t="shared" si="12"/>
        <v>0</v>
      </c>
    </row>
    <row r="179" spans="1:49" x14ac:dyDescent="0.25">
      <c r="A179" t="s">
        <v>31</v>
      </c>
      <c r="B179" t="s">
        <v>31</v>
      </c>
      <c r="C179">
        <v>60403323</v>
      </c>
      <c r="D179" t="s">
        <v>211</v>
      </c>
      <c r="E179">
        <v>60403323</v>
      </c>
      <c r="F179" t="s">
        <v>34</v>
      </c>
      <c r="G179">
        <v>0</v>
      </c>
      <c r="H179">
        <v>1</v>
      </c>
      <c r="I179">
        <v>60403323</v>
      </c>
      <c r="J179">
        <v>0</v>
      </c>
      <c r="K179">
        <v>0</v>
      </c>
      <c r="L179">
        <v>50.61</v>
      </c>
      <c r="M179">
        <v>26.6024501195669</v>
      </c>
      <c r="N179">
        <v>60</v>
      </c>
      <c r="O179">
        <v>6.3</v>
      </c>
      <c r="P179">
        <v>0.8</v>
      </c>
      <c r="Q179">
        <v>1</v>
      </c>
      <c r="R179">
        <v>9.41</v>
      </c>
      <c r="S179">
        <v>0.148176</v>
      </c>
      <c r="T179">
        <v>0.85201199999999988</v>
      </c>
      <c r="U179">
        <v>0.7668107999999999</v>
      </c>
      <c r="V179">
        <v>0.10319399999999998</v>
      </c>
      <c r="W179">
        <v>0.1132488</v>
      </c>
      <c r="X179">
        <v>4.9000000000000004</v>
      </c>
      <c r="Y179">
        <v>0.153</v>
      </c>
      <c r="Z179">
        <v>0.5</v>
      </c>
      <c r="AA179">
        <v>0</v>
      </c>
      <c r="AB179">
        <v>8.9963999999999988E-2</v>
      </c>
      <c r="AC179">
        <v>0</v>
      </c>
      <c r="AD179">
        <v>0</v>
      </c>
      <c r="AE179">
        <v>0</v>
      </c>
      <c r="AG179">
        <f t="array" ref="AG179:AH179">T1T2(T179,S179,V179,X179,Y179)</f>
        <v>0.81046084113872896</v>
      </c>
      <c r="AH179">
        <v>0.11203770657871992</v>
      </c>
      <c r="AJ179">
        <f t="array" ref="AJ179:AM179">Canay(T179,AB179,S179,V179,AG179,AH179)</f>
        <v>0.25137389435038765</v>
      </c>
      <c r="AK179">
        <v>0.10118699807078725</v>
      </c>
      <c r="AL179">
        <v>0.48030310447608554</v>
      </c>
      <c r="AM179">
        <v>1.5530158306964224E-2</v>
      </c>
      <c r="AO179" s="1">
        <f t="array" ref="AO179:AR179">Niipt(T179,AB179,S179,V179,X179,Y179)</f>
        <v>0</v>
      </c>
      <c r="AP179" s="1">
        <v>0</v>
      </c>
      <c r="AQ179" s="1">
        <v>0</v>
      </c>
      <c r="AR179" s="1">
        <v>0</v>
      </c>
      <c r="AT179" s="1">
        <f t="shared" si="9"/>
        <v>0</v>
      </c>
      <c r="AU179" s="1">
        <f t="shared" si="10"/>
        <v>0</v>
      </c>
      <c r="AV179" s="1">
        <f t="shared" si="11"/>
        <v>0</v>
      </c>
      <c r="AW179" s="1">
        <f t="shared" si="12"/>
        <v>0</v>
      </c>
    </row>
    <row r="180" spans="1:49" x14ac:dyDescent="0.25">
      <c r="A180" t="s">
        <v>31</v>
      </c>
      <c r="B180" t="s">
        <v>31</v>
      </c>
      <c r="C180">
        <v>60403316</v>
      </c>
      <c r="D180" t="s">
        <v>212</v>
      </c>
      <c r="E180">
        <v>60403316</v>
      </c>
      <c r="F180" t="s">
        <v>34</v>
      </c>
      <c r="G180">
        <v>0</v>
      </c>
      <c r="H180">
        <v>1</v>
      </c>
      <c r="I180">
        <v>60403316</v>
      </c>
      <c r="J180">
        <v>0</v>
      </c>
      <c r="K180">
        <v>0</v>
      </c>
      <c r="L180">
        <v>43.6</v>
      </c>
      <c r="M180">
        <v>26.295342720323298</v>
      </c>
      <c r="N180">
        <v>50</v>
      </c>
      <c r="O180">
        <v>6.3</v>
      </c>
      <c r="P180">
        <v>0.8</v>
      </c>
      <c r="Q180">
        <v>1</v>
      </c>
      <c r="R180">
        <v>5.05</v>
      </c>
      <c r="S180">
        <v>0.1778112</v>
      </c>
      <c r="T180">
        <v>1.0224143999999997</v>
      </c>
      <c r="U180">
        <v>0.92017296000000004</v>
      </c>
      <c r="V180">
        <v>0.12383280000000001</v>
      </c>
      <c r="W180">
        <v>0.13589856</v>
      </c>
      <c r="X180">
        <v>4.9000000000000004</v>
      </c>
      <c r="Y180">
        <v>0.153</v>
      </c>
      <c r="Z180">
        <v>0.5</v>
      </c>
      <c r="AA180">
        <v>0</v>
      </c>
      <c r="AB180">
        <v>0.10795680000000001</v>
      </c>
      <c r="AC180">
        <v>0</v>
      </c>
      <c r="AD180">
        <v>0</v>
      </c>
      <c r="AE180">
        <v>0</v>
      </c>
      <c r="AG180">
        <f t="array" ref="AG180:AH180">T1T2(T180,S180,V180,X180,Y180)</f>
        <v>0.81046084113872896</v>
      </c>
      <c r="AH180">
        <v>0.11203770657871998</v>
      </c>
      <c r="AJ180">
        <f t="array" ref="AJ180:AM180">Canay(T180,AB180,S180,V180,AG180,AH180)</f>
        <v>0.30164867322046512</v>
      </c>
      <c r="AK180">
        <v>0.12142439768494463</v>
      </c>
      <c r="AL180">
        <v>0.57636372537130187</v>
      </c>
      <c r="AM180">
        <v>1.8636189968357079E-2</v>
      </c>
      <c r="AO180" s="1">
        <f t="array" ref="AO180:AR180">Niipt(T180,AB180,S180,V180,X180,Y180)</f>
        <v>0</v>
      </c>
      <c r="AP180" s="1">
        <v>0</v>
      </c>
      <c r="AQ180" s="1">
        <v>0</v>
      </c>
      <c r="AR180" s="1">
        <v>0</v>
      </c>
      <c r="AT180" s="1">
        <f t="shared" si="9"/>
        <v>0</v>
      </c>
      <c r="AU180" s="1">
        <f t="shared" si="10"/>
        <v>0</v>
      </c>
      <c r="AV180" s="1">
        <f t="shared" si="11"/>
        <v>0</v>
      </c>
      <c r="AW180" s="1">
        <f t="shared" si="12"/>
        <v>0</v>
      </c>
    </row>
    <row r="181" spans="1:49" x14ac:dyDescent="0.25">
      <c r="A181" t="s">
        <v>31</v>
      </c>
      <c r="B181" t="s">
        <v>31</v>
      </c>
      <c r="C181">
        <v>60403313</v>
      </c>
      <c r="D181" t="s">
        <v>213</v>
      </c>
      <c r="E181">
        <v>60403313</v>
      </c>
      <c r="F181" t="s">
        <v>34</v>
      </c>
      <c r="G181">
        <v>0</v>
      </c>
      <c r="H181">
        <v>1</v>
      </c>
      <c r="I181">
        <v>60403313</v>
      </c>
      <c r="J181">
        <v>0</v>
      </c>
      <c r="K181">
        <v>0</v>
      </c>
      <c r="L181">
        <v>22.93</v>
      </c>
      <c r="M181">
        <v>12.885264057215498</v>
      </c>
      <c r="N181">
        <v>50</v>
      </c>
      <c r="O181">
        <v>6.3</v>
      </c>
      <c r="P181">
        <v>0.8</v>
      </c>
      <c r="Q181">
        <v>1</v>
      </c>
      <c r="R181">
        <v>10.25</v>
      </c>
      <c r="S181">
        <v>0.15367967999999999</v>
      </c>
      <c r="T181">
        <v>1.2700800000000001</v>
      </c>
      <c r="U181">
        <v>1.1430720000000001</v>
      </c>
      <c r="V181">
        <v>9.9701279999999989E-2</v>
      </c>
      <c r="W181">
        <v>0.10922688</v>
      </c>
      <c r="X181">
        <v>11.7</v>
      </c>
      <c r="Y181">
        <v>0.27399999999999997</v>
      </c>
      <c r="Z181">
        <v>0.5</v>
      </c>
      <c r="AA181">
        <v>0</v>
      </c>
      <c r="AB181">
        <v>9.525599999999998E-2</v>
      </c>
      <c r="AC181">
        <v>0</v>
      </c>
      <c r="AD181">
        <v>0</v>
      </c>
      <c r="AE181">
        <v>0</v>
      </c>
      <c r="AG181">
        <f t="array" ref="AG181:AH181">T1T2(T181,S181,V181,X181,Y181)</f>
        <v>1.3228396394295157</v>
      </c>
      <c r="AH181">
        <v>0.19023870505462631</v>
      </c>
      <c r="AJ181">
        <f t="array" ref="AJ181:AM181">Canay(T181,AB181,S181,V181,AG181,AH181)</f>
        <v>0.17917673699542302</v>
      </c>
      <c r="AK181">
        <v>0.11577000943808247</v>
      </c>
      <c r="AL181">
        <v>0.24721084313216579</v>
      </c>
      <c r="AM181">
        <v>4.6410452910742956E-3</v>
      </c>
      <c r="AO181" s="1">
        <f t="array" ref="AO181:AR181">Niipt(T181,AB181,S181,V181,X181,Y181)</f>
        <v>0</v>
      </c>
      <c r="AP181" s="1">
        <v>0</v>
      </c>
      <c r="AQ181" s="1">
        <v>0</v>
      </c>
      <c r="AR181" s="1">
        <v>0</v>
      </c>
      <c r="AT181" s="1">
        <f t="shared" si="9"/>
        <v>0</v>
      </c>
      <c r="AU181" s="1">
        <f t="shared" si="10"/>
        <v>0</v>
      </c>
      <c r="AV181" s="1">
        <f t="shared" si="11"/>
        <v>0</v>
      </c>
      <c r="AW181" s="1">
        <f t="shared" si="12"/>
        <v>0</v>
      </c>
    </row>
    <row r="182" spans="1:49" x14ac:dyDescent="0.25">
      <c r="A182" t="s">
        <v>31</v>
      </c>
      <c r="B182" t="s">
        <v>31</v>
      </c>
      <c r="C182">
        <v>60403332</v>
      </c>
      <c r="D182" t="s">
        <v>214</v>
      </c>
      <c r="E182">
        <v>60403332</v>
      </c>
      <c r="F182" t="s">
        <v>34</v>
      </c>
      <c r="G182">
        <v>0</v>
      </c>
      <c r="H182">
        <v>1</v>
      </c>
      <c r="I182">
        <v>60403332</v>
      </c>
      <c r="J182">
        <v>0</v>
      </c>
      <c r="K182">
        <v>0</v>
      </c>
      <c r="L182">
        <v>82.67</v>
      </c>
      <c r="M182">
        <v>39.150030505327294</v>
      </c>
      <c r="N182">
        <v>100</v>
      </c>
      <c r="O182">
        <v>10.5</v>
      </c>
      <c r="P182">
        <v>0.85</v>
      </c>
      <c r="Q182">
        <v>1</v>
      </c>
      <c r="R182">
        <v>3.85</v>
      </c>
      <c r="S182">
        <v>0.26052074999999997</v>
      </c>
      <c r="T182">
        <v>1.7870973750000001</v>
      </c>
      <c r="U182">
        <v>1.7055674999999997</v>
      </c>
      <c r="V182">
        <v>0.179928</v>
      </c>
      <c r="W182">
        <v>0.25302374999999994</v>
      </c>
      <c r="X182">
        <v>6.45</v>
      </c>
      <c r="Y182">
        <v>0.05</v>
      </c>
      <c r="Z182">
        <v>0.1</v>
      </c>
      <c r="AA182">
        <v>0</v>
      </c>
      <c r="AB182">
        <v>0.15931124999999999</v>
      </c>
      <c r="AC182">
        <v>0</v>
      </c>
      <c r="AD182">
        <v>0</v>
      </c>
      <c r="AE182">
        <v>0</v>
      </c>
      <c r="AG182">
        <f t="array" ref="AG182:AH182">T1T2(T182,S182,V182,X182,Y182)</f>
        <v>0.9267610002825043</v>
      </c>
      <c r="AH182">
        <v>3.5035837631046209E-2</v>
      </c>
      <c r="AJ182">
        <f t="array" ref="AJ182:AM182">Canay(T182,AB182,S182,V182,AG182,AH182)</f>
        <v>0.29947664228722509</v>
      </c>
      <c r="AK182">
        <v>0.12272740930283423</v>
      </c>
      <c r="AL182">
        <v>2.5245194298266003</v>
      </c>
      <c r="AM182">
        <v>2.5162436243281679E-2</v>
      </c>
      <c r="AO182" s="1">
        <f t="array" ref="AO182:AR182">Niipt(T182,AB182,S182,V182,X182,Y182)</f>
        <v>0.30064902652870085</v>
      </c>
      <c r="AP182" s="1">
        <v>0.1079195220994475</v>
      </c>
      <c r="AQ182" s="1">
        <v>2.2752710399135077</v>
      </c>
      <c r="AR182" s="1">
        <v>2.589080232558142E-2</v>
      </c>
      <c r="AT182" s="1">
        <f t="shared" si="9"/>
        <v>-0.39147769005348082</v>
      </c>
      <c r="AU182" s="1">
        <f t="shared" si="10"/>
        <v>12.065672442288539</v>
      </c>
      <c r="AV182" s="1">
        <f t="shared" si="11"/>
        <v>9.8731024593545129</v>
      </c>
      <c r="AW182" s="1">
        <f t="shared" si="12"/>
        <v>-2.8946564444617855</v>
      </c>
    </row>
    <row r="183" spans="1:49" x14ac:dyDescent="0.25">
      <c r="A183" t="s">
        <v>31</v>
      </c>
      <c r="B183" t="s">
        <v>31</v>
      </c>
      <c r="C183">
        <v>60403329</v>
      </c>
      <c r="D183" t="s">
        <v>215</v>
      </c>
      <c r="E183">
        <v>60403329</v>
      </c>
      <c r="F183" t="s">
        <v>34</v>
      </c>
      <c r="G183">
        <v>0</v>
      </c>
      <c r="H183">
        <v>1</v>
      </c>
      <c r="I183">
        <v>60403329</v>
      </c>
      <c r="J183">
        <v>0</v>
      </c>
      <c r="K183">
        <v>0</v>
      </c>
      <c r="L183">
        <v>87.34</v>
      </c>
      <c r="M183">
        <v>33.579051617811203</v>
      </c>
      <c r="N183">
        <v>110</v>
      </c>
      <c r="O183">
        <v>10.5</v>
      </c>
      <c r="P183">
        <v>0.8</v>
      </c>
      <c r="Q183">
        <v>1</v>
      </c>
      <c r="R183">
        <v>7.38</v>
      </c>
      <c r="S183">
        <v>0.217292727272727</v>
      </c>
      <c r="T183">
        <v>1.63330363636364</v>
      </c>
      <c r="U183">
        <v>1.4721381818181798</v>
      </c>
      <c r="V183">
        <v>0.15154363636363596</v>
      </c>
      <c r="W183">
        <v>0.16677818181818196</v>
      </c>
      <c r="X183">
        <v>6.7</v>
      </c>
      <c r="Y183">
        <v>5.8999999999999997E-2</v>
      </c>
      <c r="Z183">
        <v>0.5</v>
      </c>
      <c r="AA183">
        <v>0</v>
      </c>
      <c r="AB183">
        <v>0.15074181818181798</v>
      </c>
      <c r="AC183">
        <v>0</v>
      </c>
      <c r="AD183">
        <v>0</v>
      </c>
      <c r="AE183">
        <v>0</v>
      </c>
      <c r="AG183">
        <f t="array" ref="AG183:AH183">T1T2(T183,S183,V183,X183,Y183)</f>
        <v>0.87545882260705332</v>
      </c>
      <c r="AH183">
        <v>4.189496826179244E-2</v>
      </c>
      <c r="AJ183">
        <f t="array" ref="AJ183:AM183">Canay(T183,AB183,S183,V183,AG183,AH183)</f>
        <v>0.28389962942079405</v>
      </c>
      <c r="AK183">
        <v>9.1623702710898633E-2</v>
      </c>
      <c r="AL183">
        <v>1.2217528426784758</v>
      </c>
      <c r="AM183">
        <v>8.0933858998199723E-4</v>
      </c>
      <c r="AO183" s="1">
        <f t="array" ref="AO183:AR183">Niipt(T183,AB183,S183,V183,X183,Y183)</f>
        <v>0.30874419485443017</v>
      </c>
      <c r="AP183" s="1">
        <v>6.9678726449088776E-2</v>
      </c>
      <c r="AQ183" s="1">
        <v>0.85674512221932142</v>
      </c>
      <c r="AR183" s="1">
        <v>8.1159645232795996E-4</v>
      </c>
      <c r="AT183" s="1">
        <f t="shared" si="9"/>
        <v>-8.7511792404672946</v>
      </c>
      <c r="AU183" s="1">
        <f t="shared" si="10"/>
        <v>23.951199976116555</v>
      </c>
      <c r="AV183" s="1">
        <f t="shared" si="11"/>
        <v>29.875741451842249</v>
      </c>
      <c r="AW183" s="1">
        <f t="shared" si="12"/>
        <v>-0.27897623737587463</v>
      </c>
    </row>
    <row r="184" spans="1:49" x14ac:dyDescent="0.25">
      <c r="A184" t="s">
        <v>31</v>
      </c>
      <c r="B184" t="s">
        <v>31</v>
      </c>
      <c r="C184">
        <v>60403334</v>
      </c>
      <c r="D184" t="s">
        <v>216</v>
      </c>
      <c r="E184">
        <v>60403334</v>
      </c>
      <c r="F184" t="s">
        <v>34</v>
      </c>
      <c r="G184">
        <v>0</v>
      </c>
      <c r="H184">
        <v>0</v>
      </c>
      <c r="I184">
        <v>60403334</v>
      </c>
      <c r="J184">
        <v>0</v>
      </c>
      <c r="K184">
        <v>0</v>
      </c>
      <c r="L184">
        <v>8.8814174137012873</v>
      </c>
      <c r="M184">
        <v>11.792708196596401</v>
      </c>
      <c r="N184">
        <v>30</v>
      </c>
      <c r="O184">
        <v>6.3</v>
      </c>
      <c r="P184">
        <v>0.8</v>
      </c>
      <c r="Q184">
        <v>1</v>
      </c>
      <c r="R184">
        <v>10.01</v>
      </c>
      <c r="S184">
        <v>0.25401600000000002</v>
      </c>
      <c r="T184">
        <v>2.43432</v>
      </c>
      <c r="U184">
        <v>2.3284799999999999</v>
      </c>
      <c r="V184">
        <v>0.15664319999999998</v>
      </c>
      <c r="W184">
        <v>0.22226399999999999</v>
      </c>
      <c r="X184">
        <v>10</v>
      </c>
      <c r="Y184">
        <v>0.05</v>
      </c>
      <c r="Z184">
        <v>0.1</v>
      </c>
      <c r="AA184">
        <v>0</v>
      </c>
      <c r="AB184">
        <v>0.1301832</v>
      </c>
      <c r="AC184">
        <v>0</v>
      </c>
      <c r="AD184">
        <v>0</v>
      </c>
      <c r="AE184">
        <v>0</v>
      </c>
      <c r="AG184">
        <f t="array" ref="AG184:AH184">T1T2(T184,S184,V184,X184,Y184)</f>
        <v>1.0259286917899013</v>
      </c>
      <c r="AH184">
        <v>3.1360769321448226E-2</v>
      </c>
      <c r="AJ184">
        <f t="array" ref="AJ184:AM184">Canay(T184,AB184,S184,V184,AG184,AH184)</f>
        <v>0.26313803852653939</v>
      </c>
      <c r="AK184">
        <v>0.14171076336561031</v>
      </c>
      <c r="AL184">
        <v>3.0952270732620684</v>
      </c>
      <c r="AM184">
        <v>3.30008324346854E-2</v>
      </c>
      <c r="AO184" s="1">
        <f t="array" ref="AO184:AR184">Niipt(T184,AB184,S184,V184,X184,Y184)</f>
        <v>0.26331885393507493</v>
      </c>
      <c r="AP184" s="1">
        <v>0.13086602213592236</v>
      </c>
      <c r="AQ184" s="1">
        <v>2.912602618883168</v>
      </c>
      <c r="AR184" s="1">
        <v>3.3650217391304318E-2</v>
      </c>
      <c r="AT184" s="1">
        <f t="shared" si="9"/>
        <v>-6.8715040040591854E-2</v>
      </c>
      <c r="AU184" s="1">
        <f t="shared" si="10"/>
        <v>7.6527293849294891</v>
      </c>
      <c r="AV184" s="1">
        <f t="shared" si="11"/>
        <v>5.9001956902125432</v>
      </c>
      <c r="AW184" s="1">
        <f t="shared" si="12"/>
        <v>-1.9677835639575723</v>
      </c>
    </row>
    <row r="185" spans="1:49" x14ac:dyDescent="0.25">
      <c r="A185" t="s">
        <v>31</v>
      </c>
      <c r="B185" t="s">
        <v>31</v>
      </c>
      <c r="C185">
        <v>60403331</v>
      </c>
      <c r="D185" t="s">
        <v>217</v>
      </c>
      <c r="E185">
        <v>60403331</v>
      </c>
      <c r="F185" t="s">
        <v>34</v>
      </c>
      <c r="G185">
        <v>0</v>
      </c>
      <c r="H185">
        <v>0</v>
      </c>
      <c r="I185">
        <v>60403331</v>
      </c>
      <c r="J185">
        <v>0</v>
      </c>
      <c r="K185">
        <v>0</v>
      </c>
      <c r="L185">
        <v>18.53</v>
      </c>
      <c r="M185">
        <v>10.115415230654101</v>
      </c>
      <c r="N185">
        <v>24</v>
      </c>
      <c r="O185">
        <v>6.3</v>
      </c>
      <c r="P185">
        <v>0.8</v>
      </c>
      <c r="Q185">
        <v>1</v>
      </c>
      <c r="R185">
        <v>5.35</v>
      </c>
      <c r="S185">
        <v>0.34398000000000001</v>
      </c>
      <c r="T185">
        <v>3.4953660000000002</v>
      </c>
      <c r="U185">
        <v>3.1460940000000002</v>
      </c>
      <c r="V185">
        <v>0.201096</v>
      </c>
      <c r="W185">
        <v>0.220941</v>
      </c>
      <c r="X185">
        <v>10.3</v>
      </c>
      <c r="Y185">
        <v>0.217</v>
      </c>
      <c r="Z185">
        <v>0.5</v>
      </c>
      <c r="AA185">
        <v>0</v>
      </c>
      <c r="AB185">
        <v>0.168021</v>
      </c>
      <c r="AC185">
        <v>0</v>
      </c>
      <c r="AD185">
        <v>0</v>
      </c>
      <c r="AE185">
        <v>0</v>
      </c>
      <c r="AG185">
        <f t="array" ref="AG185:AH185">T1T2(T185,S185,V185,X185,Y185)</f>
        <v>0.92218198655907635</v>
      </c>
      <c r="AH185">
        <v>0.13944119582110187</v>
      </c>
      <c r="AJ185">
        <f t="array" ref="AJ185:AM185">Canay(T185,AB185,S185,V185,AG185,AH185)</f>
        <v>0.52510693539077502</v>
      </c>
      <c r="AK185">
        <v>0.2852683837060167</v>
      </c>
      <c r="AL185">
        <v>0.9252042008209469</v>
      </c>
      <c r="AM185">
        <v>3.7838219014630074E-2</v>
      </c>
      <c r="AO185" s="1">
        <f t="array" ref="AO185:AR185">Niipt(T185,AB185,S185,V185,X185,Y185)</f>
        <v>0</v>
      </c>
      <c r="AP185" s="1">
        <v>0</v>
      </c>
      <c r="AQ185" s="1">
        <v>0</v>
      </c>
      <c r="AR185" s="1">
        <v>0</v>
      </c>
      <c r="AT185" s="1">
        <f t="shared" si="9"/>
        <v>0</v>
      </c>
      <c r="AU185" s="1">
        <f t="shared" si="10"/>
        <v>0</v>
      </c>
      <c r="AV185" s="1">
        <f t="shared" si="11"/>
        <v>0</v>
      </c>
      <c r="AW185" s="1">
        <f t="shared" si="12"/>
        <v>0</v>
      </c>
    </row>
    <row r="186" spans="1:49" x14ac:dyDescent="0.25">
      <c r="A186" t="s">
        <v>31</v>
      </c>
      <c r="B186" t="s">
        <v>31</v>
      </c>
      <c r="C186">
        <v>60307016</v>
      </c>
      <c r="D186" t="s">
        <v>218</v>
      </c>
      <c r="E186">
        <v>60307007</v>
      </c>
      <c r="F186" t="s">
        <v>34</v>
      </c>
      <c r="G186">
        <v>0</v>
      </c>
      <c r="H186">
        <v>1</v>
      </c>
      <c r="I186">
        <v>60307006</v>
      </c>
      <c r="J186">
        <v>0</v>
      </c>
      <c r="K186">
        <v>0</v>
      </c>
      <c r="L186">
        <v>5.0999999999999988</v>
      </c>
      <c r="M186">
        <v>4.3906290048749304</v>
      </c>
      <c r="N186">
        <v>12</v>
      </c>
      <c r="O186">
        <v>6.3</v>
      </c>
      <c r="P186">
        <v>0.8</v>
      </c>
      <c r="Q186">
        <v>1</v>
      </c>
      <c r="R186">
        <v>6.617</v>
      </c>
      <c r="S186">
        <v>0.59005799999999986</v>
      </c>
      <c r="T186">
        <v>5.6889000000000003</v>
      </c>
      <c r="U186">
        <v>5.6889000000000003</v>
      </c>
      <c r="V186">
        <v>0.33868799999999999</v>
      </c>
      <c r="W186">
        <v>0.33868799999999999</v>
      </c>
      <c r="X186">
        <v>6.72</v>
      </c>
      <c r="Y186">
        <v>0.153</v>
      </c>
      <c r="Z186">
        <v>0.5</v>
      </c>
      <c r="AA186">
        <v>0</v>
      </c>
      <c r="AB186">
        <v>0.2410506</v>
      </c>
      <c r="AC186">
        <v>0</v>
      </c>
      <c r="AD186">
        <v>0</v>
      </c>
      <c r="AE186">
        <v>0</v>
      </c>
      <c r="AG186">
        <f t="array" ref="AG186:AH186">T1T2(T186,S186,V186,X186,Y186)</f>
        <v>0.63078728366504855</v>
      </c>
      <c r="AH186">
        <v>9.7039663974924348E-2</v>
      </c>
      <c r="AJ186">
        <f t="array" ref="AJ186:AM186">Canay(T186,AB186,S186,V186,AG186,AH186)</f>
        <v>1.2254431160746788</v>
      </c>
      <c r="AK186">
        <v>0.50377769176348219</v>
      </c>
      <c r="AL186">
        <v>2.7633547563170358</v>
      </c>
      <c r="AM186">
        <v>0.12386331056248832</v>
      </c>
      <c r="AO186" s="1">
        <f t="array" ref="AO186:AR186">Niipt(T186,AB186,S186,V186,X186,Y186)</f>
        <v>0</v>
      </c>
      <c r="AP186" s="1">
        <v>0</v>
      </c>
      <c r="AQ186" s="1">
        <v>0</v>
      </c>
      <c r="AR186" s="1">
        <v>0</v>
      </c>
      <c r="AT186" s="1">
        <f t="shared" si="9"/>
        <v>0</v>
      </c>
      <c r="AU186" s="1">
        <f t="shared" si="10"/>
        <v>0</v>
      </c>
      <c r="AV186" s="1">
        <f t="shared" si="11"/>
        <v>0</v>
      </c>
      <c r="AW186" s="1">
        <f t="shared" si="12"/>
        <v>0</v>
      </c>
    </row>
    <row r="187" spans="1:49" x14ac:dyDescent="0.25">
      <c r="A187" t="s">
        <v>31</v>
      </c>
      <c r="B187" t="s">
        <v>31</v>
      </c>
      <c r="C187">
        <v>60301011</v>
      </c>
      <c r="D187" t="s">
        <v>219</v>
      </c>
      <c r="E187">
        <v>60301077</v>
      </c>
      <c r="F187" t="s">
        <v>34</v>
      </c>
      <c r="G187">
        <v>0</v>
      </c>
      <c r="H187">
        <v>1</v>
      </c>
      <c r="I187">
        <v>60301077</v>
      </c>
      <c r="J187">
        <v>0</v>
      </c>
      <c r="K187">
        <v>0</v>
      </c>
      <c r="L187">
        <v>8</v>
      </c>
      <c r="M187">
        <v>4.556728374739289</v>
      </c>
      <c r="N187">
        <v>12</v>
      </c>
      <c r="O187">
        <v>6.3</v>
      </c>
      <c r="P187">
        <v>0.8</v>
      </c>
      <c r="Q187">
        <v>1</v>
      </c>
      <c r="R187">
        <v>6.617</v>
      </c>
      <c r="S187">
        <v>0.59005799999999986</v>
      </c>
      <c r="T187">
        <v>5.6889000000000003</v>
      </c>
      <c r="U187">
        <v>5.6889000000000003</v>
      </c>
      <c r="V187">
        <v>0.33868799999999999</v>
      </c>
      <c r="W187">
        <v>0.33868799999999999</v>
      </c>
      <c r="X187">
        <v>6.72</v>
      </c>
      <c r="Y187">
        <v>0.153</v>
      </c>
      <c r="Z187">
        <v>0.5</v>
      </c>
      <c r="AA187">
        <v>0</v>
      </c>
      <c r="AB187">
        <v>0.2410506</v>
      </c>
      <c r="AC187">
        <v>0</v>
      </c>
      <c r="AD187">
        <v>0</v>
      </c>
      <c r="AE187">
        <v>0</v>
      </c>
      <c r="AG187">
        <f t="array" ref="AG187:AH187">T1T2(T187,S187,V187,X187,Y187)</f>
        <v>0.63078728366504855</v>
      </c>
      <c r="AH187">
        <v>9.7039663974924348E-2</v>
      </c>
      <c r="AJ187">
        <f t="array" ref="AJ187:AM187">Canay(T187,AB187,S187,V187,AG187,AH187)</f>
        <v>1.2254431160746788</v>
      </c>
      <c r="AK187">
        <v>0.50377769176348219</v>
      </c>
      <c r="AL187">
        <v>2.7633547563170358</v>
      </c>
      <c r="AM187">
        <v>0.12386331056248832</v>
      </c>
      <c r="AO187" s="1">
        <f t="array" ref="AO187:AR187">Niipt(T187,AB187,S187,V187,X187,Y187)</f>
        <v>0</v>
      </c>
      <c r="AP187" s="1">
        <v>0</v>
      </c>
      <c r="AQ187" s="1">
        <v>0</v>
      </c>
      <c r="AR187" s="1">
        <v>0</v>
      </c>
      <c r="AT187" s="1">
        <f t="shared" si="9"/>
        <v>0</v>
      </c>
      <c r="AU187" s="1">
        <f t="shared" si="10"/>
        <v>0</v>
      </c>
      <c r="AV187" s="1">
        <f t="shared" si="11"/>
        <v>0</v>
      </c>
      <c r="AW187" s="1">
        <f t="shared" si="12"/>
        <v>0</v>
      </c>
    </row>
    <row r="188" spans="1:49" x14ac:dyDescent="0.25">
      <c r="A188" t="s">
        <v>31</v>
      </c>
      <c r="B188" t="s">
        <v>31</v>
      </c>
      <c r="C188">
        <v>60306017</v>
      </c>
      <c r="D188" t="s">
        <v>220</v>
      </c>
      <c r="E188">
        <v>60306005</v>
      </c>
      <c r="F188" t="s">
        <v>34</v>
      </c>
      <c r="G188">
        <v>0</v>
      </c>
      <c r="H188">
        <v>1</v>
      </c>
      <c r="I188">
        <v>60306005</v>
      </c>
      <c r="J188">
        <v>0</v>
      </c>
      <c r="K188">
        <v>0</v>
      </c>
      <c r="L188">
        <v>53.3</v>
      </c>
      <c r="M188">
        <v>3.99148500360783</v>
      </c>
      <c r="N188">
        <v>63</v>
      </c>
      <c r="O188">
        <v>6.3</v>
      </c>
      <c r="P188">
        <v>0.8</v>
      </c>
      <c r="Q188">
        <v>1</v>
      </c>
      <c r="R188">
        <v>7.2489999999999997</v>
      </c>
      <c r="S188">
        <v>0.1386</v>
      </c>
      <c r="T188">
        <v>0.96516000000000002</v>
      </c>
      <c r="U188">
        <v>0.96516000000000002</v>
      </c>
      <c r="V188">
        <v>9.0719999999999981E-2</v>
      </c>
      <c r="W188">
        <v>9.0719999999999981E-2</v>
      </c>
      <c r="X188">
        <v>6.09</v>
      </c>
      <c r="Y188">
        <v>0.16700000000000001</v>
      </c>
      <c r="Z188">
        <v>0.5</v>
      </c>
      <c r="AA188">
        <v>0</v>
      </c>
      <c r="AB188">
        <v>6.8543999999999994E-2</v>
      </c>
      <c r="AC188">
        <v>0</v>
      </c>
      <c r="AD188">
        <v>0</v>
      </c>
      <c r="AE188">
        <v>0</v>
      </c>
      <c r="AG188">
        <f t="array" ref="AG188:AH188">T1T2(T188,S188,V188,X188,Y188)</f>
        <v>0.82028222086366887</v>
      </c>
      <c r="AH188">
        <v>0.11653977948922184</v>
      </c>
      <c r="AJ188">
        <f t="array" ref="AJ188:AM188">Canay(T188,AB188,S188,V188,AG188,AH188)</f>
        <v>0.21857949030029397</v>
      </c>
      <c r="AK188">
        <v>0.10435427461243486</v>
      </c>
      <c r="AL188">
        <v>0.55180491895917494</v>
      </c>
      <c r="AM188">
        <v>2.9073359944306102E-2</v>
      </c>
      <c r="AO188" s="1">
        <f t="array" ref="AO188:AR188">Niipt(T188,AB188,S188,V188,X188,Y188)</f>
        <v>0.25047374326532529</v>
      </c>
      <c r="AP188" s="1">
        <v>7.5993673170731704E-2</v>
      </c>
      <c r="AQ188" s="1">
        <v>0.39136244286515642</v>
      </c>
      <c r="AR188" s="1">
        <v>3.2446989473684185E-2</v>
      </c>
      <c r="AT188" s="1">
        <f t="shared" si="9"/>
        <v>-14.591603686701626</v>
      </c>
      <c r="AU188" s="1">
        <f t="shared" si="10"/>
        <v>27.17723020646028</v>
      </c>
      <c r="AV188" s="1">
        <f t="shared" si="11"/>
        <v>29.075941620210312</v>
      </c>
      <c r="AW188" s="1">
        <f t="shared" si="12"/>
        <v>-11.603851552901762</v>
      </c>
    </row>
    <row r="189" spans="1:49" x14ac:dyDescent="0.25">
      <c r="A189" t="s">
        <v>31</v>
      </c>
      <c r="B189" t="s">
        <v>31</v>
      </c>
      <c r="C189">
        <v>60306018</v>
      </c>
      <c r="D189" t="s">
        <v>221</v>
      </c>
      <c r="E189">
        <v>60306006</v>
      </c>
      <c r="F189" t="s">
        <v>34</v>
      </c>
      <c r="G189">
        <v>0</v>
      </c>
      <c r="H189">
        <v>1</v>
      </c>
      <c r="I189">
        <v>60306006</v>
      </c>
      <c r="J189">
        <v>0</v>
      </c>
      <c r="K189">
        <v>0</v>
      </c>
      <c r="L189">
        <v>51.6</v>
      </c>
      <c r="M189">
        <v>7.1436201648143598</v>
      </c>
      <c r="N189">
        <v>63</v>
      </c>
      <c r="O189">
        <v>6.3</v>
      </c>
      <c r="P189">
        <v>0.8</v>
      </c>
      <c r="Q189">
        <v>1</v>
      </c>
      <c r="R189">
        <v>7.2489999999999997</v>
      </c>
      <c r="S189">
        <v>0.1386</v>
      </c>
      <c r="T189">
        <v>0.96516000000000002</v>
      </c>
      <c r="U189">
        <v>0.96516000000000002</v>
      </c>
      <c r="V189">
        <v>9.0719999999999981E-2</v>
      </c>
      <c r="W189">
        <v>9.0719999999999981E-2</v>
      </c>
      <c r="X189">
        <v>6.09</v>
      </c>
      <c r="Y189">
        <v>0.16700000000000001</v>
      </c>
      <c r="Z189">
        <v>0.5</v>
      </c>
      <c r="AA189">
        <v>0</v>
      </c>
      <c r="AB189">
        <v>6.8392800000000004E-2</v>
      </c>
      <c r="AC189">
        <v>0</v>
      </c>
      <c r="AD189">
        <v>0</v>
      </c>
      <c r="AE189">
        <v>0</v>
      </c>
      <c r="AG189">
        <f t="array" ref="AG189:AH189">T1T2(T189,S189,V189,X189,Y189)</f>
        <v>0.82028222086366887</v>
      </c>
      <c r="AH189">
        <v>0.11653977948922184</v>
      </c>
      <c r="AJ189">
        <f t="array" ref="AJ189:AM189">Canay(T189,AB189,S189,V189,AG189,AH189)</f>
        <v>0.21837192067180158</v>
      </c>
      <c r="AK189">
        <v>0.10440630493892107</v>
      </c>
      <c r="AL189">
        <v>0.55379193900363299</v>
      </c>
      <c r="AM189">
        <v>2.9329523627147736E-2</v>
      </c>
      <c r="AO189" s="1">
        <f t="array" ref="AO189:AR189">Niipt(T189,AB189,S189,V189,X189,Y189)</f>
        <v>0.24908097299102422</v>
      </c>
      <c r="AP189" s="1">
        <v>7.6170531073170733E-2</v>
      </c>
      <c r="AQ189" s="1">
        <v>0.39538472999739388</v>
      </c>
      <c r="AR189" s="1">
        <v>3.2738725894736788E-2</v>
      </c>
      <c r="AT189" s="1">
        <f t="shared" si="9"/>
        <v>-14.062729413538607</v>
      </c>
      <c r="AU189" s="1">
        <f t="shared" si="10"/>
        <v>27.044127155221709</v>
      </c>
      <c r="AV189" s="1">
        <f t="shared" si="11"/>
        <v>28.60410162185476</v>
      </c>
      <c r="AW189" s="1">
        <f t="shared" si="12"/>
        <v>-11.623790113090879</v>
      </c>
    </row>
    <row r="190" spans="1:49" x14ac:dyDescent="0.25">
      <c r="A190" t="s">
        <v>31</v>
      </c>
      <c r="B190" t="s">
        <v>31</v>
      </c>
      <c r="C190">
        <v>60306019</v>
      </c>
      <c r="D190" t="s">
        <v>222</v>
      </c>
      <c r="E190">
        <v>60306007</v>
      </c>
      <c r="F190" t="s">
        <v>34</v>
      </c>
      <c r="G190">
        <v>0</v>
      </c>
      <c r="H190">
        <v>1</v>
      </c>
      <c r="I190">
        <v>60306007</v>
      </c>
      <c r="J190">
        <v>0</v>
      </c>
      <c r="K190">
        <v>0</v>
      </c>
      <c r="L190">
        <v>70</v>
      </c>
      <c r="M190">
        <v>8.1991312119897675</v>
      </c>
      <c r="N190">
        <v>110</v>
      </c>
      <c r="O190">
        <v>10.5</v>
      </c>
      <c r="P190">
        <v>0.8</v>
      </c>
      <c r="Q190">
        <v>1</v>
      </c>
      <c r="R190">
        <v>7.1289999999999996</v>
      </c>
      <c r="S190">
        <v>0.217292727272727</v>
      </c>
      <c r="T190">
        <v>1.63330363636364</v>
      </c>
      <c r="U190">
        <v>1.63330363636364</v>
      </c>
      <c r="V190">
        <v>0.15154363636363596</v>
      </c>
      <c r="W190">
        <v>0.15154363636363596</v>
      </c>
      <c r="X190">
        <v>6.7</v>
      </c>
      <c r="Y190">
        <v>0.158</v>
      </c>
      <c r="Z190">
        <v>0.5</v>
      </c>
      <c r="AA190">
        <v>0</v>
      </c>
      <c r="AB190">
        <v>0.11425909090909099</v>
      </c>
      <c r="AC190">
        <v>0</v>
      </c>
      <c r="AD190">
        <v>0</v>
      </c>
      <c r="AE190">
        <v>0</v>
      </c>
      <c r="AG190">
        <f t="array" ref="AG190:AH190">T1T2(T190,S190,V190,X190,Y190)</f>
        <v>0.84661016217028395</v>
      </c>
      <c r="AH190">
        <v>0.11601634724642579</v>
      </c>
      <c r="AJ190">
        <f t="array" ref="AJ190:AM190">Canay(T190,AB190,S190,V190,AG190,AH190)</f>
        <v>0.32490000197308105</v>
      </c>
      <c r="AK190">
        <v>0.15045493255555631</v>
      </c>
      <c r="AL190">
        <v>0.91322302506231279</v>
      </c>
      <c r="AM190">
        <v>5.1240147281923373E-2</v>
      </c>
      <c r="AO190" s="1">
        <f t="array" ref="AO190:AR190">Niipt(T190,AB190,S190,V190,X190,Y190)</f>
        <v>0.35281603727336391</v>
      </c>
      <c r="AP190" s="1">
        <v>0.11053070446823803</v>
      </c>
      <c r="AQ190" s="1">
        <v>0.70447001965154665</v>
      </c>
      <c r="AR190" s="1">
        <v>5.8427610864743927E-2</v>
      </c>
      <c r="AT190" s="1">
        <f t="shared" si="9"/>
        <v>-8.5921930226998864</v>
      </c>
      <c r="AU190" s="1">
        <f t="shared" si="10"/>
        <v>26.535672449672624</v>
      </c>
      <c r="AV190" s="1">
        <f t="shared" si="11"/>
        <v>22.858929273768812</v>
      </c>
      <c r="AW190" s="1">
        <f t="shared" si="12"/>
        <v>-14.027015853945771</v>
      </c>
    </row>
    <row r="191" spans="1:49" x14ac:dyDescent="0.25">
      <c r="A191" t="s">
        <v>31</v>
      </c>
      <c r="B191" t="s">
        <v>31</v>
      </c>
      <c r="C191">
        <v>60306020</v>
      </c>
      <c r="D191" t="s">
        <v>223</v>
      </c>
      <c r="E191">
        <v>60306008</v>
      </c>
      <c r="F191" t="s">
        <v>34</v>
      </c>
      <c r="G191">
        <v>0</v>
      </c>
      <c r="H191">
        <v>1</v>
      </c>
      <c r="I191">
        <v>60306008</v>
      </c>
      <c r="J191">
        <v>0</v>
      </c>
      <c r="K191">
        <v>0</v>
      </c>
      <c r="L191">
        <v>0</v>
      </c>
      <c r="M191">
        <v>2.2078537922066799</v>
      </c>
      <c r="N191">
        <v>110</v>
      </c>
      <c r="O191">
        <v>10.5</v>
      </c>
      <c r="P191">
        <v>0.8</v>
      </c>
      <c r="Q191">
        <v>1</v>
      </c>
      <c r="R191">
        <v>7.1289999999999996</v>
      </c>
      <c r="S191">
        <v>0.217292727272727</v>
      </c>
      <c r="T191">
        <v>1.63330363636364</v>
      </c>
      <c r="U191">
        <v>1.63330363636364</v>
      </c>
      <c r="V191">
        <v>0.15154363636363596</v>
      </c>
      <c r="W191">
        <v>0.15154363636363596</v>
      </c>
      <c r="X191">
        <v>6.7</v>
      </c>
      <c r="Y191">
        <v>0.158</v>
      </c>
      <c r="Z191">
        <v>0.5</v>
      </c>
      <c r="AA191">
        <v>0</v>
      </c>
      <c r="AB191">
        <v>0.11425909090909099</v>
      </c>
      <c r="AC191">
        <v>0</v>
      </c>
      <c r="AD191">
        <v>0</v>
      </c>
      <c r="AE191">
        <v>0</v>
      </c>
      <c r="AG191">
        <f t="array" ref="AG191:AH191">T1T2(T191,S191,V191,X191,Y191)</f>
        <v>0.84661016217028395</v>
      </c>
      <c r="AH191">
        <v>0.11601634724642579</v>
      </c>
      <c r="AJ191">
        <f t="array" ref="AJ191:AM191">Canay(T191,AB191,S191,V191,AG191,AH191)</f>
        <v>0.32490000197308105</v>
      </c>
      <c r="AK191">
        <v>0.15045493255555631</v>
      </c>
      <c r="AL191">
        <v>0.91322302506231279</v>
      </c>
      <c r="AM191">
        <v>5.1240147281923373E-2</v>
      </c>
      <c r="AO191" s="1">
        <f t="array" ref="AO191:AR191">Niipt(T191,AB191,S191,V191,X191,Y191)</f>
        <v>0.35281603727336391</v>
      </c>
      <c r="AP191" s="1">
        <v>0.11053070446823803</v>
      </c>
      <c r="AQ191" s="1">
        <v>0.70447001965154665</v>
      </c>
      <c r="AR191" s="1">
        <v>5.8427610864743927E-2</v>
      </c>
      <c r="AT191" s="1">
        <f t="shared" si="9"/>
        <v>-8.5921930226998864</v>
      </c>
      <c r="AU191" s="1">
        <f t="shared" si="10"/>
        <v>26.535672449672624</v>
      </c>
      <c r="AV191" s="1">
        <f t="shared" si="11"/>
        <v>22.858929273768812</v>
      </c>
      <c r="AW191" s="1">
        <f t="shared" si="12"/>
        <v>-14.027015853945771</v>
      </c>
    </row>
    <row r="192" spans="1:49" x14ac:dyDescent="0.25">
      <c r="A192" t="s">
        <v>31</v>
      </c>
      <c r="B192" t="s">
        <v>31</v>
      </c>
      <c r="C192">
        <v>60301012</v>
      </c>
      <c r="D192" t="s">
        <v>224</v>
      </c>
      <c r="E192">
        <v>60301076</v>
      </c>
      <c r="F192" t="s">
        <v>34</v>
      </c>
      <c r="G192">
        <v>0</v>
      </c>
      <c r="H192">
        <v>1</v>
      </c>
      <c r="I192">
        <v>60301076</v>
      </c>
      <c r="J192">
        <v>0</v>
      </c>
      <c r="K192">
        <v>0</v>
      </c>
      <c r="L192">
        <v>4</v>
      </c>
      <c r="M192">
        <v>1.3842235875662301</v>
      </c>
      <c r="N192">
        <v>6</v>
      </c>
      <c r="O192">
        <v>6.3</v>
      </c>
      <c r="P192">
        <v>0.8</v>
      </c>
      <c r="Q192">
        <v>1</v>
      </c>
      <c r="R192">
        <v>5.0999999999999988</v>
      </c>
      <c r="S192">
        <v>0.87317999999999996</v>
      </c>
      <c r="T192">
        <v>8.7370919999999987</v>
      </c>
      <c r="U192">
        <v>8.7370919999999987</v>
      </c>
      <c r="V192">
        <v>0.6403319999999999</v>
      </c>
      <c r="W192">
        <v>0.6403319999999999</v>
      </c>
      <c r="X192">
        <v>7.45</v>
      </c>
      <c r="Y192">
        <v>0.2</v>
      </c>
      <c r="Z192">
        <v>0.5</v>
      </c>
      <c r="AA192">
        <v>0</v>
      </c>
      <c r="AB192">
        <v>0.51226559999999999</v>
      </c>
      <c r="AC192">
        <v>0</v>
      </c>
      <c r="AD192">
        <v>0</v>
      </c>
      <c r="AE192">
        <v>0</v>
      </c>
      <c r="AG192">
        <f t="array" ref="AG192:AH192">T1T2(T192,S192,V192,X192,Y192)</f>
        <v>0.69130936936669396</v>
      </c>
      <c r="AH192">
        <v>0.1579618176661679</v>
      </c>
      <c r="AJ192">
        <f t="array" ref="AJ192:AM192">Canay(T192,AB192,S192,V192,AG192,AH192)</f>
        <v>2.1359935195107784</v>
      </c>
      <c r="AK192">
        <v>0.77222502846413221</v>
      </c>
      <c r="AL192">
        <v>2.4379161819751589</v>
      </c>
      <c r="AM192">
        <v>0.15644783487068914</v>
      </c>
      <c r="AO192" s="1">
        <f t="array" ref="AO192:AR192">Niipt(T192,AB192,S192,V192,X192,Y192)</f>
        <v>0</v>
      </c>
      <c r="AP192" s="1">
        <v>0</v>
      </c>
      <c r="AQ192" s="1">
        <v>0</v>
      </c>
      <c r="AR192" s="1">
        <v>0</v>
      </c>
      <c r="AT192" s="1">
        <f t="shared" si="9"/>
        <v>0</v>
      </c>
      <c r="AU192" s="1">
        <f t="shared" si="10"/>
        <v>0</v>
      </c>
      <c r="AV192" s="1">
        <f t="shared" si="11"/>
        <v>0</v>
      </c>
      <c r="AW192" s="1">
        <f t="shared" si="12"/>
        <v>0</v>
      </c>
    </row>
    <row r="193" spans="1:49" x14ac:dyDescent="0.25">
      <c r="A193" t="s">
        <v>31</v>
      </c>
      <c r="B193" t="s">
        <v>31</v>
      </c>
      <c r="C193">
        <v>60301005</v>
      </c>
      <c r="D193" t="s">
        <v>225</v>
      </c>
      <c r="E193">
        <v>60301089</v>
      </c>
      <c r="F193" t="s">
        <v>34</v>
      </c>
      <c r="G193">
        <v>0</v>
      </c>
      <c r="H193">
        <v>1</v>
      </c>
      <c r="I193">
        <v>60301094</v>
      </c>
      <c r="J193">
        <v>0</v>
      </c>
      <c r="K193">
        <v>0</v>
      </c>
      <c r="L193">
        <v>140.79999999999998</v>
      </c>
      <c r="M193">
        <v>33.0965242672861</v>
      </c>
      <c r="N193">
        <v>220</v>
      </c>
      <c r="O193">
        <v>15.8</v>
      </c>
      <c r="P193">
        <v>0.85</v>
      </c>
      <c r="Q193">
        <v>1</v>
      </c>
      <c r="R193">
        <v>6.770999999999999</v>
      </c>
      <c r="S193">
        <v>0.341439436363636</v>
      </c>
      <c r="T193">
        <v>2.0158429999999994</v>
      </c>
      <c r="U193">
        <v>2.0158429999999994</v>
      </c>
      <c r="V193">
        <v>0.224732736363636</v>
      </c>
      <c r="W193">
        <v>0.224732736363636</v>
      </c>
      <c r="X193">
        <v>6.45</v>
      </c>
      <c r="Y193">
        <v>3.4999999999999996E-2</v>
      </c>
      <c r="Z193">
        <v>0.5</v>
      </c>
      <c r="AA193">
        <v>0</v>
      </c>
      <c r="AB193">
        <v>6.3658199999999984E-2</v>
      </c>
      <c r="AC193">
        <v>0</v>
      </c>
      <c r="AD193">
        <v>0</v>
      </c>
      <c r="AE193">
        <v>0</v>
      </c>
      <c r="AG193">
        <f t="array" ref="AG193:AH193">T1T2(T193,S193,V193,X193,Y193)</f>
        <v>1.0824032608644731</v>
      </c>
      <c r="AH193">
        <v>2.3251356871844084E-2</v>
      </c>
      <c r="AJ193">
        <f t="array" ref="AJ193:AM193">Canay(T193,AB193,S193,V193,AG193,AH193)</f>
        <v>0.35821632339857079</v>
      </c>
      <c r="AK193">
        <v>0.32589344177953994</v>
      </c>
      <c r="AL193">
        <v>18.588397490036051</v>
      </c>
      <c r="AM193">
        <v>0.38057952870628953</v>
      </c>
      <c r="AO193" s="1">
        <f t="array" ref="AO193:AR193">Niipt(T193,AB193,S193,V193,X193,Y193)</f>
        <v>0.35789165582861016</v>
      </c>
      <c r="AP193" s="1">
        <v>0.3238647594470041</v>
      </c>
      <c r="AQ193" s="1">
        <v>18.625691538446397</v>
      </c>
      <c r="AR193" s="1">
        <v>0.3833840204357612</v>
      </c>
      <c r="AT193" s="1">
        <f t="shared" si="9"/>
        <v>9.0634498975467492E-2</v>
      </c>
      <c r="AU193" s="1">
        <f t="shared" si="10"/>
        <v>0.62249866749641336</v>
      </c>
      <c r="AV193" s="1">
        <f t="shared" si="11"/>
        <v>-0.20063078826636871</v>
      </c>
      <c r="AW193" s="1">
        <f t="shared" si="12"/>
        <v>-0.73690031069328032</v>
      </c>
    </row>
    <row r="194" spans="1:49" x14ac:dyDescent="0.25">
      <c r="A194" t="s">
        <v>31</v>
      </c>
      <c r="B194" t="s">
        <v>31</v>
      </c>
      <c r="C194">
        <v>60301006</v>
      </c>
      <c r="D194" t="s">
        <v>226</v>
      </c>
      <c r="E194">
        <v>60301091</v>
      </c>
      <c r="F194" t="s">
        <v>34</v>
      </c>
      <c r="G194">
        <v>0</v>
      </c>
      <c r="H194">
        <v>1</v>
      </c>
      <c r="I194">
        <v>60301095</v>
      </c>
      <c r="J194">
        <v>0</v>
      </c>
      <c r="K194">
        <v>0</v>
      </c>
      <c r="L194">
        <v>205.1</v>
      </c>
      <c r="M194">
        <v>38.387412267497098</v>
      </c>
      <c r="N194">
        <v>220</v>
      </c>
      <c r="O194">
        <v>15.8</v>
      </c>
      <c r="P194">
        <v>0.85</v>
      </c>
      <c r="Q194">
        <v>1</v>
      </c>
      <c r="R194">
        <v>6.770999999999999</v>
      </c>
      <c r="S194">
        <v>0.341439436363636</v>
      </c>
      <c r="T194">
        <v>2.0158429999999994</v>
      </c>
      <c r="U194">
        <v>2.0158429999999994</v>
      </c>
      <c r="V194">
        <v>0.224732736363636</v>
      </c>
      <c r="W194">
        <v>0.224732736363636</v>
      </c>
      <c r="X194">
        <v>6.45</v>
      </c>
      <c r="Y194">
        <v>3.4999999999999996E-2</v>
      </c>
      <c r="Z194">
        <v>0.5</v>
      </c>
      <c r="AA194">
        <v>0</v>
      </c>
      <c r="AB194">
        <v>6.3658199999999984E-2</v>
      </c>
      <c r="AC194">
        <v>0</v>
      </c>
      <c r="AD194">
        <v>0</v>
      </c>
      <c r="AE194">
        <v>0</v>
      </c>
      <c r="AG194">
        <f t="array" ref="AG194:AH194">T1T2(T194,S194,V194,X194,Y194)</f>
        <v>1.0824032608644731</v>
      </c>
      <c r="AH194">
        <v>2.3251356871844084E-2</v>
      </c>
      <c r="AJ194">
        <f t="array" ref="AJ194:AM194">Canay(T194,AB194,S194,V194,AG194,AH194)</f>
        <v>0.35821632339857079</v>
      </c>
      <c r="AK194">
        <v>0.32589344177953994</v>
      </c>
      <c r="AL194">
        <v>18.588397490036051</v>
      </c>
      <c r="AM194">
        <v>0.38057952870628953</v>
      </c>
      <c r="AO194" s="1">
        <f t="array" ref="AO194:AR194">Niipt(T194,AB194,S194,V194,X194,Y194)</f>
        <v>0.35789165582861016</v>
      </c>
      <c r="AP194" s="1">
        <v>0.3238647594470041</v>
      </c>
      <c r="AQ194" s="1">
        <v>18.625691538446397</v>
      </c>
      <c r="AR194" s="1">
        <v>0.3833840204357612</v>
      </c>
      <c r="AT194" s="1">
        <f t="shared" si="9"/>
        <v>9.0634498975467492E-2</v>
      </c>
      <c r="AU194" s="1">
        <f t="shared" si="10"/>
        <v>0.62249866749641336</v>
      </c>
      <c r="AV194" s="1">
        <f t="shared" si="11"/>
        <v>-0.20063078826636871</v>
      </c>
      <c r="AW194" s="1">
        <f t="shared" si="12"/>
        <v>-0.73690031069328032</v>
      </c>
    </row>
    <row r="195" spans="1:49" x14ac:dyDescent="0.25">
      <c r="A195" t="s">
        <v>31</v>
      </c>
      <c r="B195" t="s">
        <v>31</v>
      </c>
      <c r="C195">
        <v>60301021</v>
      </c>
      <c r="D195" t="s">
        <v>227</v>
      </c>
      <c r="E195">
        <v>60301092</v>
      </c>
      <c r="F195" t="s">
        <v>34</v>
      </c>
      <c r="G195">
        <v>0</v>
      </c>
      <c r="H195">
        <v>1</v>
      </c>
      <c r="I195">
        <v>60301096</v>
      </c>
      <c r="J195">
        <v>0</v>
      </c>
      <c r="K195">
        <v>0</v>
      </c>
      <c r="L195">
        <v>235</v>
      </c>
      <c r="M195">
        <v>29.424730541635196</v>
      </c>
      <c r="N195">
        <v>235</v>
      </c>
      <c r="O195">
        <v>15.8</v>
      </c>
      <c r="P195">
        <v>0.97499999999999998</v>
      </c>
      <c r="Q195">
        <v>1</v>
      </c>
      <c r="R195">
        <v>10.473000000000001</v>
      </c>
      <c r="S195">
        <v>0.24730294491986798</v>
      </c>
      <c r="T195">
        <v>2.1639007657184295</v>
      </c>
      <c r="U195">
        <v>2.1639007657184295</v>
      </c>
      <c r="V195">
        <v>0.17517291901614901</v>
      </c>
      <c r="W195">
        <v>0.17517291901614901</v>
      </c>
      <c r="X195">
        <v>14</v>
      </c>
      <c r="Y195">
        <v>4.4999999999999991E-2</v>
      </c>
      <c r="Z195">
        <v>0.5</v>
      </c>
      <c r="AA195">
        <v>0</v>
      </c>
      <c r="AB195">
        <v>0.14735133821758697</v>
      </c>
      <c r="AC195">
        <v>0</v>
      </c>
      <c r="AD195">
        <v>0</v>
      </c>
      <c r="AE195">
        <v>0</v>
      </c>
      <c r="AG195">
        <f t="array" ref="AG195:AH195">T1T2(T195,S195,V195,X195,Y195)</f>
        <v>1.5882509619456167</v>
      </c>
      <c r="AH195">
        <v>3.2110794319619489E-2</v>
      </c>
      <c r="AJ195">
        <f t="array" ref="AJ195:AM195">Canay(T195,AB195,S195,V195,AG195,AH195)</f>
        <v>0.15916291710229716</v>
      </c>
      <c r="AK195">
        <v>0.11142436562862749</v>
      </c>
      <c r="AL195">
        <v>3.0424687704179627</v>
      </c>
      <c r="AM195">
        <v>3.777472659562657E-2</v>
      </c>
      <c r="AO195" s="1">
        <f t="array" ref="AO195:AR195">Niipt(T195,AB195,S195,V195,X195,Y195)</f>
        <v>0.15899535980833099</v>
      </c>
      <c r="AP195" s="1">
        <v>0.10516413672498809</v>
      </c>
      <c r="AQ195" s="1">
        <v>2.9337643359167673</v>
      </c>
      <c r="AR195" s="1">
        <v>3.855276172402191E-2</v>
      </c>
      <c r="AT195" s="1">
        <f t="shared" ref="AT195:AT258" si="13">IF(AO195&gt;0,(AJ195-AO195)/AJ195*100,0)</f>
        <v>0.10527407829455475</v>
      </c>
      <c r="AU195" s="1">
        <f t="shared" si="10"/>
        <v>5.6183662059198731</v>
      </c>
      <c r="AV195" s="1">
        <f t="shared" si="11"/>
        <v>3.5729022285498098</v>
      </c>
      <c r="AW195" s="1">
        <f t="shared" si="12"/>
        <v>-2.0596711042388263</v>
      </c>
    </row>
    <row r="196" spans="1:49" x14ac:dyDescent="0.25">
      <c r="A196" t="s">
        <v>31</v>
      </c>
      <c r="B196" t="s">
        <v>31</v>
      </c>
      <c r="C196">
        <v>60303001</v>
      </c>
      <c r="D196" t="s">
        <v>228</v>
      </c>
      <c r="E196">
        <v>60303077</v>
      </c>
      <c r="F196" t="s">
        <v>34</v>
      </c>
      <c r="G196">
        <v>0</v>
      </c>
      <c r="H196">
        <v>1</v>
      </c>
      <c r="I196">
        <v>60304020</v>
      </c>
      <c r="J196">
        <v>0</v>
      </c>
      <c r="K196">
        <v>0</v>
      </c>
      <c r="L196">
        <v>75.2</v>
      </c>
      <c r="M196">
        <v>23.6811846302042</v>
      </c>
      <c r="N196">
        <v>100</v>
      </c>
      <c r="O196">
        <v>10.5</v>
      </c>
      <c r="P196">
        <v>0.85</v>
      </c>
      <c r="Q196">
        <v>1</v>
      </c>
      <c r="R196">
        <v>7.7189999999999994</v>
      </c>
      <c r="S196">
        <v>0.246463875</v>
      </c>
      <c r="T196">
        <v>1.6755795</v>
      </c>
      <c r="U196">
        <v>1.6755795</v>
      </c>
      <c r="V196">
        <v>0.17149387499999996</v>
      </c>
      <c r="W196">
        <v>0.17149387499999996</v>
      </c>
      <c r="X196">
        <v>6.46</v>
      </c>
      <c r="Y196">
        <v>0.17099999999999999</v>
      </c>
      <c r="Z196">
        <v>0.5</v>
      </c>
      <c r="AA196">
        <v>0</v>
      </c>
      <c r="AB196">
        <v>7.4969999999999995E-2</v>
      </c>
      <c r="AC196">
        <v>0</v>
      </c>
      <c r="AD196">
        <v>0</v>
      </c>
      <c r="AE196">
        <v>0</v>
      </c>
      <c r="AG196">
        <f t="array" ref="AG196:AH196">T1T2(T196,S196,V196,X196,Y196)</f>
        <v>0.90214431443619536</v>
      </c>
      <c r="AH196">
        <v>0.12532455962639746</v>
      </c>
      <c r="AJ196">
        <f t="array" ref="AJ196:AM196">Canay(T196,AB196,S196,V196,AG196,AH196)</f>
        <v>0.31579387922040658</v>
      </c>
      <c r="AK196">
        <v>0.2099412423967503</v>
      </c>
      <c r="AL196">
        <v>2.0071205318441776</v>
      </c>
      <c r="AM196">
        <v>0.20112098416893345</v>
      </c>
      <c r="AO196" s="1">
        <f t="array" ref="AO196:AR196">Niipt(T196,AB196,S196,V196,X196,Y196)</f>
        <v>0.31247786264471089</v>
      </c>
      <c r="AP196" s="1">
        <v>0.19207313999999998</v>
      </c>
      <c r="AQ196" s="1">
        <v>2.037348132012244</v>
      </c>
      <c r="AR196" s="1">
        <v>0.22079836406249984</v>
      </c>
      <c r="AT196" s="1">
        <f t="shared" si="13"/>
        <v>1.0500572664302006</v>
      </c>
      <c r="AU196" s="1">
        <f t="shared" si="10"/>
        <v>8.5110015510829928</v>
      </c>
      <c r="AV196" s="1">
        <f t="shared" si="11"/>
        <v>-1.5060181831876689</v>
      </c>
      <c r="AW196" s="1">
        <f t="shared" si="12"/>
        <v>-9.7838522294810293</v>
      </c>
    </row>
    <row r="197" spans="1:49" x14ac:dyDescent="0.25">
      <c r="A197" t="s">
        <v>31</v>
      </c>
      <c r="B197" t="s">
        <v>31</v>
      </c>
      <c r="C197">
        <v>60303004</v>
      </c>
      <c r="D197" t="s">
        <v>229</v>
      </c>
      <c r="E197">
        <v>60303039</v>
      </c>
      <c r="F197" t="s">
        <v>34</v>
      </c>
      <c r="G197">
        <v>0</v>
      </c>
      <c r="H197">
        <v>1</v>
      </c>
      <c r="I197">
        <v>60303039</v>
      </c>
      <c r="J197">
        <v>0</v>
      </c>
      <c r="K197">
        <v>0</v>
      </c>
      <c r="L197">
        <v>74.5</v>
      </c>
      <c r="M197">
        <v>4.9780901634838797</v>
      </c>
      <c r="N197">
        <v>100</v>
      </c>
      <c r="O197">
        <v>10.5</v>
      </c>
      <c r="P197">
        <v>0.85</v>
      </c>
      <c r="Q197">
        <v>1</v>
      </c>
      <c r="R197">
        <v>7.7189999999999994</v>
      </c>
      <c r="S197">
        <v>0.246463875</v>
      </c>
      <c r="T197">
        <v>1.6755795</v>
      </c>
      <c r="U197">
        <v>1.6755795</v>
      </c>
      <c r="V197">
        <v>0.17149387499999996</v>
      </c>
      <c r="W197">
        <v>0.17149387499999996</v>
      </c>
      <c r="X197">
        <v>6.46</v>
      </c>
      <c r="Y197">
        <v>0.17099999999999999</v>
      </c>
      <c r="Z197">
        <v>0.5</v>
      </c>
      <c r="AA197">
        <v>0</v>
      </c>
      <c r="AB197">
        <v>7.4969999999999995E-2</v>
      </c>
      <c r="AC197">
        <v>0</v>
      </c>
      <c r="AD197">
        <v>0</v>
      </c>
      <c r="AE197">
        <v>0</v>
      </c>
      <c r="AG197">
        <f t="array" ref="AG197:AH197">T1T2(T197,S197,V197,X197,Y197)</f>
        <v>0.90214431443619536</v>
      </c>
      <c r="AH197">
        <v>0.12532455962639746</v>
      </c>
      <c r="AJ197">
        <f t="array" ref="AJ197:AM197">Canay(T197,AB197,S197,V197,AG197,AH197)</f>
        <v>0.31579387922040658</v>
      </c>
      <c r="AK197">
        <v>0.2099412423967503</v>
      </c>
      <c r="AL197">
        <v>2.0071205318441776</v>
      </c>
      <c r="AM197">
        <v>0.20112098416893345</v>
      </c>
      <c r="AO197" s="1">
        <f t="array" ref="AO197:AR197">Niipt(T197,AB197,S197,V197,X197,Y197)</f>
        <v>0.31247786264471089</v>
      </c>
      <c r="AP197" s="1">
        <v>0.19207313999999998</v>
      </c>
      <c r="AQ197" s="1">
        <v>2.037348132012244</v>
      </c>
      <c r="AR197" s="1">
        <v>0.22079836406249984</v>
      </c>
      <c r="AT197" s="1">
        <f t="shared" si="13"/>
        <v>1.0500572664302006</v>
      </c>
      <c r="AU197" s="1">
        <f t="shared" si="10"/>
        <v>8.5110015510829928</v>
      </c>
      <c r="AV197" s="1">
        <f t="shared" si="11"/>
        <v>-1.5060181831876689</v>
      </c>
      <c r="AW197" s="1">
        <f t="shared" si="12"/>
        <v>-9.7838522294810293</v>
      </c>
    </row>
    <row r="198" spans="1:49" x14ac:dyDescent="0.25">
      <c r="A198" t="s">
        <v>31</v>
      </c>
      <c r="B198" t="s">
        <v>31</v>
      </c>
      <c r="C198">
        <v>60303002</v>
      </c>
      <c r="D198" t="s">
        <v>230</v>
      </c>
      <c r="E198">
        <v>60303078</v>
      </c>
      <c r="F198" t="s">
        <v>34</v>
      </c>
      <c r="G198">
        <v>0</v>
      </c>
      <c r="H198">
        <v>1</v>
      </c>
      <c r="I198">
        <v>60304021</v>
      </c>
      <c r="J198">
        <v>0</v>
      </c>
      <c r="K198">
        <v>0</v>
      </c>
      <c r="L198">
        <v>82.5</v>
      </c>
      <c r="M198">
        <v>30.739195715981801</v>
      </c>
      <c r="N198">
        <v>120</v>
      </c>
      <c r="O198">
        <v>10.5</v>
      </c>
      <c r="P198">
        <v>0.85</v>
      </c>
      <c r="Q198">
        <v>1</v>
      </c>
      <c r="R198">
        <v>6.411999999999999</v>
      </c>
      <c r="S198">
        <v>0.24521437499999998</v>
      </c>
      <c r="T198">
        <v>1.686825</v>
      </c>
      <c r="U198">
        <v>1.686825</v>
      </c>
      <c r="V198">
        <v>0.16712062499999997</v>
      </c>
      <c r="W198">
        <v>0.16712062499999997</v>
      </c>
      <c r="X198">
        <v>6.45</v>
      </c>
      <c r="Y198">
        <v>0.17</v>
      </c>
      <c r="Z198">
        <v>0.5</v>
      </c>
      <c r="AA198">
        <v>0</v>
      </c>
      <c r="AB198">
        <v>0.10784746874999998</v>
      </c>
      <c r="AC198">
        <v>0</v>
      </c>
      <c r="AD198">
        <v>0</v>
      </c>
      <c r="AE198">
        <v>0</v>
      </c>
      <c r="AG198">
        <f t="array" ref="AG198:AH198">T1T2(T198,S198,V198,X198,Y198)</f>
        <v>0.88734598021015842</v>
      </c>
      <c r="AH198">
        <v>0.12242656713956511</v>
      </c>
      <c r="AJ198">
        <f t="array" ref="AJ198:AM198">Canay(T198,AB198,S198,V198,AG198,AH198)</f>
        <v>0.33459462575091475</v>
      </c>
      <c r="AK198">
        <v>0.18470181113980652</v>
      </c>
      <c r="AL198">
        <v>1.2390536497138676</v>
      </c>
      <c r="AM198">
        <v>9.2390785174121123E-2</v>
      </c>
      <c r="AO198" s="1">
        <f t="array" ref="AO198:AR198">Niipt(T198,AB198,S198,V198,X198,Y198)</f>
        <v>0.33702725644155179</v>
      </c>
      <c r="AP198" s="1">
        <v>0.15045620137967225</v>
      </c>
      <c r="AQ198" s="1">
        <v>1.1307802675441003</v>
      </c>
      <c r="AR198" s="1">
        <v>0.10426148184374995</v>
      </c>
      <c r="AT198" s="1">
        <f t="shared" si="13"/>
        <v>-0.72703818394500563</v>
      </c>
      <c r="AU198" s="1">
        <f t="shared" si="10"/>
        <v>18.541025422979047</v>
      </c>
      <c r="AV198" s="1">
        <f t="shared" si="11"/>
        <v>8.7383933855302072</v>
      </c>
      <c r="AW198" s="1">
        <f t="shared" si="12"/>
        <v>-12.848355652846896</v>
      </c>
    </row>
    <row r="199" spans="1:49" x14ac:dyDescent="0.25">
      <c r="A199" t="s">
        <v>31</v>
      </c>
      <c r="B199" t="s">
        <v>31</v>
      </c>
      <c r="C199">
        <v>60303003</v>
      </c>
      <c r="D199" t="s">
        <v>231</v>
      </c>
      <c r="E199">
        <v>60303079</v>
      </c>
      <c r="F199" t="s">
        <v>34</v>
      </c>
      <c r="G199">
        <v>0</v>
      </c>
      <c r="H199">
        <v>1</v>
      </c>
      <c r="I199">
        <v>60304022</v>
      </c>
      <c r="J199">
        <v>0</v>
      </c>
      <c r="K199">
        <v>0</v>
      </c>
      <c r="L199">
        <v>47.8</v>
      </c>
      <c r="M199">
        <v>29.392865569410397</v>
      </c>
      <c r="N199">
        <v>120</v>
      </c>
      <c r="O199">
        <v>10.5</v>
      </c>
      <c r="P199">
        <v>0.85</v>
      </c>
      <c r="Q199">
        <v>1</v>
      </c>
      <c r="R199">
        <v>6.411999999999999</v>
      </c>
      <c r="S199">
        <v>0.24521437499999998</v>
      </c>
      <c r="T199">
        <v>1.686825</v>
      </c>
      <c r="U199">
        <v>1.686825</v>
      </c>
      <c r="V199">
        <v>0.16712062499999997</v>
      </c>
      <c r="W199">
        <v>0.16712062499999997</v>
      </c>
      <c r="X199">
        <v>6.45</v>
      </c>
      <c r="Y199">
        <v>0.17</v>
      </c>
      <c r="Z199">
        <v>0.5</v>
      </c>
      <c r="AA199">
        <v>0</v>
      </c>
      <c r="AB199">
        <v>0.107769375</v>
      </c>
      <c r="AC199">
        <v>0</v>
      </c>
      <c r="AD199">
        <v>0</v>
      </c>
      <c r="AE199">
        <v>0</v>
      </c>
      <c r="AG199">
        <f t="array" ref="AG199:AH199">T1T2(T199,S199,V199,X199,Y199)</f>
        <v>0.88734598021015842</v>
      </c>
      <c r="AH199">
        <v>0.12242656713956511</v>
      </c>
      <c r="AJ199">
        <f t="array" ref="AJ199:AM199">Canay(T199,AB199,S199,V199,AG199,AH199)</f>
        <v>0.33453945207896796</v>
      </c>
      <c r="AK199">
        <v>0.18474944166667817</v>
      </c>
      <c r="AL199">
        <v>1.2403882147166008</v>
      </c>
      <c r="AM199">
        <v>9.256843361909875E-2</v>
      </c>
      <c r="AO199" s="1">
        <f t="array" ref="AO199:AR199">Niipt(T199,AB199,S199,V199,X199,Y199)</f>
        <v>0.33692671600834778</v>
      </c>
      <c r="AP199" s="1">
        <v>0.1505491820151679</v>
      </c>
      <c r="AQ199" s="1">
        <v>1.1325161713761374</v>
      </c>
      <c r="AR199" s="1">
        <v>0.1044581999999999</v>
      </c>
      <c r="AT199" s="1">
        <f t="shared" si="13"/>
        <v>-0.7135971301872972</v>
      </c>
      <c r="AU199" s="1">
        <f t="shared" si="10"/>
        <v>18.511698516098253</v>
      </c>
      <c r="AV199" s="1">
        <f t="shared" si="11"/>
        <v>8.6966356226715362</v>
      </c>
      <c r="AW199" s="1">
        <f t="shared" si="12"/>
        <v>-12.844298986223802</v>
      </c>
    </row>
    <row r="200" spans="1:49" x14ac:dyDescent="0.25">
      <c r="A200" t="s">
        <v>31</v>
      </c>
      <c r="B200" t="s">
        <v>31</v>
      </c>
      <c r="C200">
        <v>60303008</v>
      </c>
      <c r="D200" t="s">
        <v>232</v>
      </c>
      <c r="E200">
        <v>60303038</v>
      </c>
      <c r="F200" t="s">
        <v>34</v>
      </c>
      <c r="G200">
        <v>0</v>
      </c>
      <c r="H200">
        <v>1</v>
      </c>
      <c r="I200">
        <v>60303038</v>
      </c>
      <c r="J200">
        <v>0</v>
      </c>
      <c r="K200">
        <v>0</v>
      </c>
      <c r="L200">
        <v>50.4</v>
      </c>
      <c r="M200">
        <v>14.626349218620801</v>
      </c>
      <c r="N200">
        <v>60</v>
      </c>
      <c r="O200">
        <v>6.3</v>
      </c>
      <c r="P200">
        <v>0.85</v>
      </c>
      <c r="Q200">
        <v>1</v>
      </c>
      <c r="R200">
        <v>8.3019999999999978</v>
      </c>
      <c r="S200">
        <v>0.17430524999999997</v>
      </c>
      <c r="T200">
        <v>0.97835850000000002</v>
      </c>
      <c r="U200">
        <v>0.97835850000000002</v>
      </c>
      <c r="V200">
        <v>0.11807775</v>
      </c>
      <c r="W200">
        <v>0.11807775</v>
      </c>
      <c r="X200">
        <v>4.9000000000000004</v>
      </c>
      <c r="Y200">
        <v>0.153</v>
      </c>
      <c r="Z200">
        <v>0.5</v>
      </c>
      <c r="AA200">
        <v>0</v>
      </c>
      <c r="AB200">
        <v>9.5024474999999983E-2</v>
      </c>
      <c r="AC200">
        <v>0</v>
      </c>
      <c r="AD200">
        <v>0</v>
      </c>
      <c r="AE200">
        <v>0</v>
      </c>
      <c r="AG200">
        <f t="array" ref="AG200:AH200">T1T2(T200,S200,V200,X200,Y200)</f>
        <v>0.82881186639591053</v>
      </c>
      <c r="AH200">
        <v>0.10916956929708969</v>
      </c>
      <c r="AJ200">
        <f t="array" ref="AJ200:AM200">Canay(T200,AB200,S200,V200,AG200,AH200)</f>
        <v>0.27145812039206157</v>
      </c>
      <c r="AK200">
        <v>0.12270574663061158</v>
      </c>
      <c r="AL200">
        <v>0.67758184525799858</v>
      </c>
      <c r="AM200">
        <v>2.9328839511215801E-2</v>
      </c>
      <c r="AO200" s="1">
        <f t="array" ref="AO200:AR200">Niipt(T200,AB200,S200,V200,X200,Y200)</f>
        <v>0.32160336104086029</v>
      </c>
      <c r="AP200" s="1">
        <v>8.7097970297202773E-2</v>
      </c>
      <c r="AQ200" s="1">
        <v>0.44992903143320484</v>
      </c>
      <c r="AR200" s="1">
        <v>3.2505117750000027E-2</v>
      </c>
      <c r="AT200" s="1">
        <f t="shared" si="13"/>
        <v>-18.472551337338867</v>
      </c>
      <c r="AU200" s="1">
        <f t="shared" si="10"/>
        <v>29.018833519346916</v>
      </c>
      <c r="AV200" s="1">
        <f t="shared" si="11"/>
        <v>33.597832559712664</v>
      </c>
      <c r="AW200" s="1">
        <f t="shared" si="12"/>
        <v>-10.829880389810747</v>
      </c>
    </row>
    <row r="201" spans="1:49" x14ac:dyDescent="0.25">
      <c r="A201" t="s">
        <v>31</v>
      </c>
      <c r="B201" t="s">
        <v>31</v>
      </c>
      <c r="C201">
        <v>60303007</v>
      </c>
      <c r="D201" t="s">
        <v>233</v>
      </c>
      <c r="E201">
        <v>60303037</v>
      </c>
      <c r="F201" t="s">
        <v>34</v>
      </c>
      <c r="G201">
        <v>0</v>
      </c>
      <c r="H201">
        <v>1</v>
      </c>
      <c r="I201">
        <v>60303037</v>
      </c>
      <c r="J201">
        <v>0</v>
      </c>
      <c r="K201">
        <v>0</v>
      </c>
      <c r="L201">
        <v>42.9</v>
      </c>
      <c r="M201">
        <v>17.991618349606295</v>
      </c>
      <c r="N201">
        <v>60</v>
      </c>
      <c r="O201">
        <v>6.3</v>
      </c>
      <c r="P201">
        <v>0.85</v>
      </c>
      <c r="Q201">
        <v>1</v>
      </c>
      <c r="R201">
        <v>8.3019999999999978</v>
      </c>
      <c r="S201">
        <v>0.17430524999999997</v>
      </c>
      <c r="T201">
        <v>0.97835850000000002</v>
      </c>
      <c r="U201">
        <v>0.97835850000000002</v>
      </c>
      <c r="V201">
        <v>0.11807775</v>
      </c>
      <c r="W201">
        <v>0.11807775</v>
      </c>
      <c r="X201">
        <v>4.9000000000000004</v>
      </c>
      <c r="Y201">
        <v>0.153</v>
      </c>
      <c r="Z201">
        <v>0.5</v>
      </c>
      <c r="AA201">
        <v>0</v>
      </c>
      <c r="AB201">
        <v>9.5080702500000003E-2</v>
      </c>
      <c r="AC201">
        <v>0</v>
      </c>
      <c r="AD201">
        <v>0</v>
      </c>
      <c r="AE201">
        <v>0</v>
      </c>
      <c r="AG201">
        <f t="array" ref="AG201:AH201">T1T2(T201,S201,V201,X201,Y201)</f>
        <v>0.82881186639591053</v>
      </c>
      <c r="AH201">
        <v>0.10916956929708969</v>
      </c>
      <c r="AJ201">
        <f t="array" ref="AJ201:AM201">Canay(T201,AB201,S201,V201,AG201,AH201)</f>
        <v>0.27153387398042245</v>
      </c>
      <c r="AK201">
        <v>0.12268375376780566</v>
      </c>
      <c r="AL201">
        <v>0.67680927645244071</v>
      </c>
      <c r="AM201">
        <v>2.9239203763006035E-2</v>
      </c>
      <c r="AO201" s="1">
        <f t="array" ref="AO201:AR201">Niipt(T201,AB201,S201,V201,X201,Y201)</f>
        <v>0.32240228180516389</v>
      </c>
      <c r="AP201" s="1">
        <v>8.7030658508916031E-2</v>
      </c>
      <c r="AQ201" s="1">
        <v>0.4481206517215281</v>
      </c>
      <c r="AR201" s="1">
        <v>3.2402839927499989E-2</v>
      </c>
      <c r="AT201" s="1">
        <f t="shared" si="13"/>
        <v>-18.733724481244298</v>
      </c>
      <c r="AU201" s="1">
        <f t="shared" si="10"/>
        <v>29.060975201629034</v>
      </c>
      <c r="AV201" s="1">
        <f t="shared" si="11"/>
        <v>33.789227288610093</v>
      </c>
      <c r="AW201" s="1">
        <f t="shared" si="12"/>
        <v>-10.819843762286862</v>
      </c>
    </row>
    <row r="202" spans="1:49" x14ac:dyDescent="0.25">
      <c r="A202" t="s">
        <v>31</v>
      </c>
      <c r="B202" t="s">
        <v>31</v>
      </c>
      <c r="C202">
        <v>60303010</v>
      </c>
      <c r="D202" t="s">
        <v>234</v>
      </c>
      <c r="E202">
        <v>60303044</v>
      </c>
      <c r="F202" t="s">
        <v>34</v>
      </c>
      <c r="G202">
        <v>0</v>
      </c>
      <c r="H202">
        <v>1</v>
      </c>
      <c r="I202">
        <v>60303044</v>
      </c>
      <c r="J202">
        <v>0</v>
      </c>
      <c r="K202">
        <v>0</v>
      </c>
      <c r="L202">
        <v>6</v>
      </c>
      <c r="M202">
        <v>0</v>
      </c>
      <c r="N202">
        <v>6</v>
      </c>
      <c r="O202">
        <v>6.3</v>
      </c>
      <c r="P202">
        <v>0.8</v>
      </c>
      <c r="Q202">
        <v>1</v>
      </c>
      <c r="R202">
        <v>5.101</v>
      </c>
      <c r="S202">
        <v>0.89964</v>
      </c>
      <c r="T202">
        <v>8.7317999999999998</v>
      </c>
      <c r="U202">
        <v>8.7317999999999998</v>
      </c>
      <c r="V202">
        <v>0.63504000000000005</v>
      </c>
      <c r="W202">
        <v>1.0584</v>
      </c>
      <c r="X202">
        <v>7.1</v>
      </c>
      <c r="Y202">
        <v>0.129</v>
      </c>
      <c r="Z202">
        <v>0.5</v>
      </c>
      <c r="AA202">
        <v>0</v>
      </c>
      <c r="AB202">
        <v>0.50803200000000004</v>
      </c>
      <c r="AC202">
        <v>0</v>
      </c>
      <c r="AD202">
        <v>0</v>
      </c>
      <c r="AE202">
        <v>0</v>
      </c>
      <c r="AG202">
        <f t="array" ref="AG202:AH202">T1T2(T202,S202,V202,X202,Y202)</f>
        <v>0.6949964731619539</v>
      </c>
      <c r="AH202">
        <v>9.5843521029475562E-2</v>
      </c>
      <c r="AJ202">
        <f t="array" ref="AJ202:AM202">Canay(T202,AB202,S202,V202,AG202,AH202)</f>
        <v>1.7027111471173693</v>
      </c>
      <c r="AK202">
        <v>0.60114252628070297</v>
      </c>
      <c r="AL202">
        <v>4.0994296680724025</v>
      </c>
      <c r="AM202">
        <v>0.16424617077144252</v>
      </c>
      <c r="AO202" s="1">
        <f t="array" ref="AO202:AR202">Niipt(T202,AB202,S202,V202,X202,Y202)</f>
        <v>0</v>
      </c>
      <c r="AP202" s="1">
        <v>0</v>
      </c>
      <c r="AQ202" s="1">
        <v>0</v>
      </c>
      <c r="AR202" s="1">
        <v>0</v>
      </c>
      <c r="AT202" s="1">
        <f t="shared" si="13"/>
        <v>0</v>
      </c>
      <c r="AU202" s="1">
        <f t="shared" si="10"/>
        <v>0</v>
      </c>
      <c r="AV202" s="1">
        <f t="shared" si="11"/>
        <v>0</v>
      </c>
      <c r="AW202" s="1">
        <f t="shared" si="12"/>
        <v>0</v>
      </c>
    </row>
    <row r="203" spans="1:49" x14ac:dyDescent="0.25">
      <c r="A203" t="s">
        <v>31</v>
      </c>
      <c r="B203" t="s">
        <v>31</v>
      </c>
      <c r="C203">
        <v>60303009</v>
      </c>
      <c r="D203" t="s">
        <v>235</v>
      </c>
      <c r="E203">
        <v>60303045</v>
      </c>
      <c r="F203" t="s">
        <v>34</v>
      </c>
      <c r="G203">
        <v>0</v>
      </c>
      <c r="H203">
        <v>1</v>
      </c>
      <c r="I203">
        <v>60303045</v>
      </c>
      <c r="J203">
        <v>0</v>
      </c>
      <c r="K203">
        <v>0</v>
      </c>
      <c r="L203">
        <v>4.5</v>
      </c>
      <c r="M203">
        <v>1.4095512616990098</v>
      </c>
      <c r="N203">
        <v>6</v>
      </c>
      <c r="O203">
        <v>6.3</v>
      </c>
      <c r="P203">
        <v>0.8</v>
      </c>
      <c r="Q203">
        <v>1</v>
      </c>
      <c r="R203">
        <v>5.101</v>
      </c>
      <c r="S203">
        <v>1.0054799999999997</v>
      </c>
      <c r="T203">
        <v>10.160640000000001</v>
      </c>
      <c r="U203">
        <v>10.160640000000001</v>
      </c>
      <c r="V203">
        <v>0.70701119999999984</v>
      </c>
      <c r="W203">
        <v>0.70912799999999987</v>
      </c>
      <c r="X203">
        <v>7.1</v>
      </c>
      <c r="Y203">
        <v>0.129</v>
      </c>
      <c r="Z203">
        <v>0.5</v>
      </c>
      <c r="AA203">
        <v>0</v>
      </c>
      <c r="AB203">
        <v>0.50803200000000004</v>
      </c>
      <c r="AC203">
        <v>0</v>
      </c>
      <c r="AD203">
        <v>0</v>
      </c>
      <c r="AE203">
        <v>0</v>
      </c>
      <c r="AG203">
        <f t="array" ref="AG203:AH203">T1T2(T203,S203,V203,X203,Y203)</f>
        <v>0.66546269158257265</v>
      </c>
      <c r="AH203">
        <v>9.5770019576059101E-2</v>
      </c>
      <c r="AJ203">
        <f t="array" ref="AJ203:AM203">Canay(T203,AB203,S203,V203,AG203,AH203)</f>
        <v>1.8984956360766234</v>
      </c>
      <c r="AK203">
        <v>0.70199367555586289</v>
      </c>
      <c r="AL203">
        <v>5.5995112229671173</v>
      </c>
      <c r="AM203">
        <v>0.28591542969837053</v>
      </c>
      <c r="AO203" s="1">
        <f t="array" ref="AO203:AR203">Niipt(T203,AB203,S203,V203,X203,Y203)</f>
        <v>2.0188716527961037</v>
      </c>
      <c r="AP203" s="1">
        <v>0.524476966473988</v>
      </c>
      <c r="AQ203" s="1">
        <v>4.5631323990159096</v>
      </c>
      <c r="AR203" s="1">
        <v>0.33163199999999954</v>
      </c>
      <c r="AT203" s="1">
        <f t="shared" si="13"/>
        <v>-6.3406001273853807</v>
      </c>
      <c r="AU203" s="1">
        <f t="shared" si="10"/>
        <v>25.287508315699714</v>
      </c>
      <c r="AV203" s="1">
        <f t="shared" si="11"/>
        <v>18.508380154688613</v>
      </c>
      <c r="AW203" s="1">
        <f t="shared" si="12"/>
        <v>-15.989542904298023</v>
      </c>
    </row>
    <row r="204" spans="1:49" x14ac:dyDescent="0.25">
      <c r="A204" t="s">
        <v>31</v>
      </c>
      <c r="B204" t="s">
        <v>32</v>
      </c>
      <c r="C204">
        <v>60102105</v>
      </c>
      <c r="D204" t="s">
        <v>236</v>
      </c>
      <c r="E204">
        <v>60102972</v>
      </c>
      <c r="F204" t="s">
        <v>34</v>
      </c>
      <c r="G204">
        <v>0</v>
      </c>
      <c r="H204">
        <v>1</v>
      </c>
      <c r="I204">
        <v>60101105</v>
      </c>
      <c r="J204">
        <v>0</v>
      </c>
      <c r="K204">
        <v>0</v>
      </c>
      <c r="L204">
        <v>45.8</v>
      </c>
      <c r="M204">
        <v>1.1178679544636201</v>
      </c>
      <c r="N204">
        <v>60</v>
      </c>
      <c r="O204">
        <v>6.3</v>
      </c>
      <c r="P204">
        <v>0.8</v>
      </c>
      <c r="Q204">
        <v>1</v>
      </c>
      <c r="R204">
        <v>6.61</v>
      </c>
      <c r="S204">
        <v>0.1518804</v>
      </c>
      <c r="T204">
        <v>1.1054987999999999</v>
      </c>
      <c r="U204">
        <v>0.91022399999999992</v>
      </c>
      <c r="V204">
        <v>0.1016064</v>
      </c>
      <c r="W204">
        <v>9.525599999999998E-2</v>
      </c>
      <c r="X204">
        <v>6.09</v>
      </c>
      <c r="Y204">
        <v>0.16700000000000001</v>
      </c>
      <c r="Z204">
        <v>0.5</v>
      </c>
      <c r="AA204">
        <v>0</v>
      </c>
      <c r="AB204">
        <v>5.2920000000000002E-2</v>
      </c>
      <c r="AC204">
        <v>0</v>
      </c>
      <c r="AD204">
        <v>0</v>
      </c>
      <c r="AE204">
        <v>0</v>
      </c>
      <c r="AG204">
        <f t="array" ref="AG204:AH204">T1T2(T204,S204,V204,X204,Y204)</f>
        <v>0.7842792738163088</v>
      </c>
      <c r="AH204">
        <v>0.11918615637214341</v>
      </c>
      <c r="AJ204">
        <f t="array" ref="AJ204:AM204">Canay(T204,AB204,S204,V204,AG204,AH204)</f>
        <v>0.23039145650436432</v>
      </c>
      <c r="AK204">
        <v>0.12638154437193214</v>
      </c>
      <c r="AL204">
        <v>0.99861572678415234</v>
      </c>
      <c r="AM204">
        <v>8.5638277116812878E-2</v>
      </c>
      <c r="AO204" s="1">
        <f t="array" ref="AO204:AR204">Niipt(T204,AB204,S204,V204,X204,Y204)</f>
        <v>0.22889571844424725</v>
      </c>
      <c r="AP204" s="1">
        <v>0.10922987547169809</v>
      </c>
      <c r="AQ204" s="1">
        <v>0.97217091856172366</v>
      </c>
      <c r="AR204" s="1">
        <v>9.5835334736842095E-2</v>
      </c>
      <c r="AT204" s="1">
        <f t="shared" si="13"/>
        <v>0.64921594004018146</v>
      </c>
      <c r="AU204" s="1">
        <f t="shared" si="10"/>
        <v>13.571339854621394</v>
      </c>
      <c r="AV204" s="1">
        <f t="shared" si="11"/>
        <v>2.6481465806260664</v>
      </c>
      <c r="AW204" s="1">
        <f t="shared" si="12"/>
        <v>-11.907126069479611</v>
      </c>
    </row>
    <row r="205" spans="1:49" x14ac:dyDescent="0.25">
      <c r="A205" t="s">
        <v>31</v>
      </c>
      <c r="B205" t="s">
        <v>32</v>
      </c>
      <c r="C205">
        <v>60102009</v>
      </c>
      <c r="D205" t="s">
        <v>237</v>
      </c>
      <c r="E205">
        <v>60102019</v>
      </c>
      <c r="F205" t="s">
        <v>34</v>
      </c>
      <c r="G205">
        <v>0</v>
      </c>
      <c r="H205">
        <v>1</v>
      </c>
      <c r="I205">
        <v>60101009</v>
      </c>
      <c r="J205">
        <v>0</v>
      </c>
      <c r="K205">
        <v>0</v>
      </c>
      <c r="L205">
        <v>0</v>
      </c>
      <c r="M205">
        <v>-5.2990367505571108</v>
      </c>
      <c r="N205">
        <v>65</v>
      </c>
      <c r="O205">
        <v>6.3</v>
      </c>
      <c r="P205">
        <v>0.8</v>
      </c>
      <c r="Q205">
        <v>1</v>
      </c>
      <c r="R205">
        <v>6.39</v>
      </c>
      <c r="S205">
        <v>0.14166276923076901</v>
      </c>
      <c r="T205">
        <v>1.06344775384615</v>
      </c>
      <c r="U205">
        <v>0.78647261538461488</v>
      </c>
      <c r="V205">
        <v>9.4767507692307684E-2</v>
      </c>
      <c r="W205">
        <v>9.7698461538461498E-2</v>
      </c>
      <c r="X205">
        <v>6.11</v>
      </c>
      <c r="Y205">
        <v>0.14799999999999996</v>
      </c>
      <c r="Z205">
        <v>0.5</v>
      </c>
      <c r="AA205">
        <v>0</v>
      </c>
      <c r="AB205">
        <v>5.1291692307692295E-2</v>
      </c>
      <c r="AC205">
        <v>0</v>
      </c>
      <c r="AD205">
        <v>0</v>
      </c>
      <c r="AE205">
        <v>0</v>
      </c>
      <c r="AG205">
        <f t="array" ref="AG205:AH205">T1T2(T205,S205,V205,X205,Y205)</f>
        <v>0.76770872599957407</v>
      </c>
      <c r="AH205">
        <v>0.10496626633839755</v>
      </c>
      <c r="AJ205">
        <f t="array" ref="AJ205:AM205">Canay(T205,AB205,S205,V205,AG205,AH205)</f>
        <v>0.21681838860429839</v>
      </c>
      <c r="AK205">
        <v>0.1140277138768073</v>
      </c>
      <c r="AL205">
        <v>1.0223701304683048</v>
      </c>
      <c r="AM205">
        <v>7.5508706208276974E-2</v>
      </c>
      <c r="AO205" s="1">
        <f t="array" ref="AO205:AR205">Niipt(T205,AB205,S205,V205,X205,Y205)</f>
        <v>0.2156419587305011</v>
      </c>
      <c r="AP205" s="1">
        <v>9.9230986425339132E-2</v>
      </c>
      <c r="AQ205" s="1">
        <v>0.99256530551665334</v>
      </c>
      <c r="AR205" s="1">
        <v>8.378151923076943E-2</v>
      </c>
      <c r="AT205" s="1">
        <f t="shared" si="13"/>
        <v>0.54258768426893877</v>
      </c>
      <c r="AU205" s="1">
        <f t="shared" si="10"/>
        <v>12.976430859127966</v>
      </c>
      <c r="AV205" s="1">
        <f t="shared" si="11"/>
        <v>2.9152675790713047</v>
      </c>
      <c r="AW205" s="1">
        <f t="shared" si="12"/>
        <v>-10.956104849251968</v>
      </c>
    </row>
    <row r="206" spans="1:49" x14ac:dyDescent="0.25">
      <c r="A206" t="s">
        <v>31</v>
      </c>
      <c r="B206" t="s">
        <v>32</v>
      </c>
      <c r="C206">
        <v>60102014</v>
      </c>
      <c r="D206" t="s">
        <v>238</v>
      </c>
      <c r="E206">
        <v>60102032</v>
      </c>
      <c r="F206" t="s">
        <v>34</v>
      </c>
      <c r="G206">
        <v>0</v>
      </c>
      <c r="H206">
        <v>1</v>
      </c>
      <c r="I206">
        <v>60101014</v>
      </c>
      <c r="J206">
        <v>0</v>
      </c>
      <c r="K206">
        <v>0</v>
      </c>
      <c r="L206">
        <v>0</v>
      </c>
      <c r="M206">
        <v>0</v>
      </c>
      <c r="N206">
        <v>10</v>
      </c>
      <c r="O206">
        <v>6.3</v>
      </c>
      <c r="P206">
        <v>0.8</v>
      </c>
      <c r="Q206">
        <v>1</v>
      </c>
      <c r="R206">
        <v>21.88</v>
      </c>
      <c r="S206">
        <v>0.43500239999999996</v>
      </c>
      <c r="T206">
        <v>5.7788639999999996</v>
      </c>
      <c r="U206">
        <v>5.9376239999999996</v>
      </c>
      <c r="V206">
        <v>0.2762424</v>
      </c>
      <c r="W206">
        <v>0.3079944</v>
      </c>
      <c r="X206">
        <v>6.56</v>
      </c>
      <c r="Y206">
        <v>0.105</v>
      </c>
      <c r="Z206">
        <v>0.77</v>
      </c>
      <c r="AA206">
        <v>0</v>
      </c>
      <c r="AB206">
        <v>0.27306720000000001</v>
      </c>
      <c r="AC206">
        <v>0</v>
      </c>
      <c r="AD206">
        <v>0</v>
      </c>
      <c r="AE206">
        <v>0</v>
      </c>
      <c r="AG206">
        <f t="array" ref="AG206:AH206">T1T2(T206,S206,V206,X206,Y206)</f>
        <v>0.4546314666852736</v>
      </c>
      <c r="AH206">
        <v>7.2423833937890467E-2</v>
      </c>
      <c r="AJ206">
        <f t="array" ref="AJ206:AM206">Canay(T206,AB206,S206,V206,AG206,AH206)</f>
        <v>1.6423309109979312</v>
      </c>
      <c r="AK206">
        <v>0.36268766685661025</v>
      </c>
      <c r="AL206">
        <v>1.7818483437086827</v>
      </c>
      <c r="AM206">
        <v>3.2051079565364408E-3</v>
      </c>
      <c r="AO206" s="1">
        <f t="array" ref="AO206:AR206">Niipt(T206,AB206,S206,V206,X206,Y206)</f>
        <v>0</v>
      </c>
      <c r="AP206" s="1">
        <v>0</v>
      </c>
      <c r="AQ206" s="1">
        <v>0</v>
      </c>
      <c r="AR206" s="1">
        <v>0</v>
      </c>
      <c r="AT206" s="1">
        <f t="shared" si="13"/>
        <v>0</v>
      </c>
      <c r="AU206" s="1">
        <f t="shared" si="10"/>
        <v>0</v>
      </c>
      <c r="AV206" s="1">
        <f t="shared" si="11"/>
        <v>0</v>
      </c>
      <c r="AW206" s="1">
        <f t="shared" si="12"/>
        <v>0</v>
      </c>
    </row>
    <row r="207" spans="1:49" x14ac:dyDescent="0.25">
      <c r="A207" t="s">
        <v>31</v>
      </c>
      <c r="B207" t="s">
        <v>32</v>
      </c>
      <c r="C207">
        <v>60102015</v>
      </c>
      <c r="D207" t="s">
        <v>239</v>
      </c>
      <c r="E207">
        <v>60102171</v>
      </c>
      <c r="F207" t="s">
        <v>34</v>
      </c>
      <c r="G207">
        <v>0</v>
      </c>
      <c r="H207">
        <v>1</v>
      </c>
      <c r="I207">
        <v>60101015</v>
      </c>
      <c r="J207">
        <v>0</v>
      </c>
      <c r="K207">
        <v>0</v>
      </c>
      <c r="L207">
        <v>0</v>
      </c>
      <c r="M207">
        <v>0</v>
      </c>
      <c r="N207">
        <v>10</v>
      </c>
      <c r="O207">
        <v>6.3</v>
      </c>
      <c r="P207">
        <v>0.8</v>
      </c>
      <c r="Q207">
        <v>1</v>
      </c>
      <c r="R207">
        <v>21.88</v>
      </c>
      <c r="S207">
        <v>0.43500239999999996</v>
      </c>
      <c r="T207">
        <v>5.7788639999999996</v>
      </c>
      <c r="U207">
        <v>5.9376239999999996</v>
      </c>
      <c r="V207">
        <v>0.2762424</v>
      </c>
      <c r="W207">
        <v>0.3079944</v>
      </c>
      <c r="X207">
        <v>6.56</v>
      </c>
      <c r="Y207">
        <v>0.105</v>
      </c>
      <c r="Z207">
        <v>0.77</v>
      </c>
      <c r="AA207">
        <v>0</v>
      </c>
      <c r="AB207">
        <v>0.27306720000000001</v>
      </c>
      <c r="AC207">
        <v>0</v>
      </c>
      <c r="AD207">
        <v>0</v>
      </c>
      <c r="AE207">
        <v>0</v>
      </c>
      <c r="AG207">
        <f t="array" ref="AG207:AH207">T1T2(T207,S207,V207,X207,Y207)</f>
        <v>0.4546314666852736</v>
      </c>
      <c r="AH207">
        <v>7.2423833937890467E-2</v>
      </c>
      <c r="AJ207">
        <f t="array" ref="AJ207:AM207">Canay(T207,AB207,S207,V207,AG207,AH207)</f>
        <v>1.6423309109979312</v>
      </c>
      <c r="AK207">
        <v>0.36268766685661025</v>
      </c>
      <c r="AL207">
        <v>1.7818483437086827</v>
      </c>
      <c r="AM207">
        <v>3.2051079565364408E-3</v>
      </c>
      <c r="AO207" s="1">
        <f t="array" ref="AO207:AR207">Niipt(T207,AB207,S207,V207,X207,Y207)</f>
        <v>0</v>
      </c>
      <c r="AP207" s="1">
        <v>0</v>
      </c>
      <c r="AQ207" s="1">
        <v>0</v>
      </c>
      <c r="AR207" s="1">
        <v>0</v>
      </c>
      <c r="AT207" s="1">
        <f t="shared" si="13"/>
        <v>0</v>
      </c>
      <c r="AU207" s="1">
        <f t="shared" si="10"/>
        <v>0</v>
      </c>
      <c r="AV207" s="1">
        <f t="shared" si="11"/>
        <v>0</v>
      </c>
      <c r="AW207" s="1">
        <f t="shared" si="12"/>
        <v>0</v>
      </c>
    </row>
    <row r="208" spans="1:49" x14ac:dyDescent="0.25">
      <c r="A208" t="s">
        <v>31</v>
      </c>
      <c r="B208" t="s">
        <v>32</v>
      </c>
      <c r="C208">
        <v>60102016</v>
      </c>
      <c r="D208" t="s">
        <v>240</v>
      </c>
      <c r="E208">
        <v>60102177</v>
      </c>
      <c r="F208" t="s">
        <v>34</v>
      </c>
      <c r="G208">
        <v>0</v>
      </c>
      <c r="H208">
        <v>1</v>
      </c>
      <c r="I208">
        <v>60101016</v>
      </c>
      <c r="J208">
        <v>0</v>
      </c>
      <c r="K208">
        <v>0</v>
      </c>
      <c r="L208">
        <v>0</v>
      </c>
      <c r="M208">
        <v>0</v>
      </c>
      <c r="N208">
        <v>10</v>
      </c>
      <c r="O208">
        <v>6.3</v>
      </c>
      <c r="P208">
        <v>0.8</v>
      </c>
      <c r="Q208">
        <v>1</v>
      </c>
      <c r="R208">
        <v>21.88</v>
      </c>
      <c r="S208">
        <v>0.43500239999999996</v>
      </c>
      <c r="T208">
        <v>5.7788639999999996</v>
      </c>
      <c r="U208">
        <v>5.9376239999999996</v>
      </c>
      <c r="V208">
        <v>0.2762424</v>
      </c>
      <c r="W208">
        <v>0.3079944</v>
      </c>
      <c r="X208">
        <v>6.56</v>
      </c>
      <c r="Y208">
        <v>0.105</v>
      </c>
      <c r="Z208">
        <v>0.77</v>
      </c>
      <c r="AA208">
        <v>0</v>
      </c>
      <c r="AB208">
        <v>0.27306720000000001</v>
      </c>
      <c r="AC208">
        <v>0</v>
      </c>
      <c r="AD208">
        <v>0</v>
      </c>
      <c r="AE208">
        <v>0</v>
      </c>
      <c r="AG208">
        <f t="array" ref="AG208:AH208">T1T2(T208,S208,V208,X208,Y208)</f>
        <v>0.4546314666852736</v>
      </c>
      <c r="AH208">
        <v>7.2423833937890467E-2</v>
      </c>
      <c r="AJ208">
        <f t="array" ref="AJ208:AM208">Canay(T208,AB208,S208,V208,AG208,AH208)</f>
        <v>1.6423309109979312</v>
      </c>
      <c r="AK208">
        <v>0.36268766685661025</v>
      </c>
      <c r="AL208">
        <v>1.7818483437086827</v>
      </c>
      <c r="AM208">
        <v>3.2051079565364408E-3</v>
      </c>
      <c r="AO208" s="1">
        <f t="array" ref="AO208:AR208">Niipt(T208,AB208,S208,V208,X208,Y208)</f>
        <v>0</v>
      </c>
      <c r="AP208" s="1">
        <v>0</v>
      </c>
      <c r="AQ208" s="1">
        <v>0</v>
      </c>
      <c r="AR208" s="1">
        <v>0</v>
      </c>
      <c r="AT208" s="1">
        <f t="shared" si="13"/>
        <v>0</v>
      </c>
      <c r="AU208" s="1">
        <f t="shared" si="10"/>
        <v>0</v>
      </c>
      <c r="AV208" s="1">
        <f t="shared" si="11"/>
        <v>0</v>
      </c>
      <c r="AW208" s="1">
        <f t="shared" si="12"/>
        <v>0</v>
      </c>
    </row>
    <row r="209" spans="1:49" x14ac:dyDescent="0.25">
      <c r="A209" t="s">
        <v>31</v>
      </c>
      <c r="B209" t="s">
        <v>32</v>
      </c>
      <c r="C209">
        <v>60102017</v>
      </c>
      <c r="D209" t="s">
        <v>241</v>
      </c>
      <c r="E209">
        <v>60102040</v>
      </c>
      <c r="F209" t="s">
        <v>34</v>
      </c>
      <c r="G209">
        <v>0</v>
      </c>
      <c r="H209">
        <v>1</v>
      </c>
      <c r="I209">
        <v>60101017</v>
      </c>
      <c r="J209">
        <v>0</v>
      </c>
      <c r="K209">
        <v>0</v>
      </c>
      <c r="L209">
        <v>0</v>
      </c>
      <c r="M209">
        <v>0</v>
      </c>
      <c r="N209">
        <v>10</v>
      </c>
      <c r="O209">
        <v>6.3</v>
      </c>
      <c r="P209">
        <v>0.8</v>
      </c>
      <c r="Q209">
        <v>1</v>
      </c>
      <c r="R209">
        <v>21.88</v>
      </c>
      <c r="S209">
        <v>0.43500239999999996</v>
      </c>
      <c r="T209">
        <v>5.7788639999999996</v>
      </c>
      <c r="U209">
        <v>5.9376239999999996</v>
      </c>
      <c r="V209">
        <v>0.2762424</v>
      </c>
      <c r="W209">
        <v>0.3079944</v>
      </c>
      <c r="X209">
        <v>6.56</v>
      </c>
      <c r="Y209">
        <v>0.105</v>
      </c>
      <c r="Z209">
        <v>0.77</v>
      </c>
      <c r="AA209">
        <v>0</v>
      </c>
      <c r="AB209">
        <v>0.27306720000000001</v>
      </c>
      <c r="AC209">
        <v>0</v>
      </c>
      <c r="AD209">
        <v>0</v>
      </c>
      <c r="AE209">
        <v>0</v>
      </c>
      <c r="AG209">
        <f t="array" ref="AG209:AH209">T1T2(T209,S209,V209,X209,Y209)</f>
        <v>0.4546314666852736</v>
      </c>
      <c r="AH209">
        <v>7.2423833937890467E-2</v>
      </c>
      <c r="AJ209">
        <f t="array" ref="AJ209:AM209">Canay(T209,AB209,S209,V209,AG209,AH209)</f>
        <v>1.6423309109979312</v>
      </c>
      <c r="AK209">
        <v>0.36268766685661025</v>
      </c>
      <c r="AL209">
        <v>1.7818483437086827</v>
      </c>
      <c r="AM209">
        <v>3.2051079565364408E-3</v>
      </c>
      <c r="AO209" s="1">
        <f t="array" ref="AO209:AR209">Niipt(T209,AB209,S209,V209,X209,Y209)</f>
        <v>0</v>
      </c>
      <c r="AP209" s="1">
        <v>0</v>
      </c>
      <c r="AQ209" s="1">
        <v>0</v>
      </c>
      <c r="AR209" s="1">
        <v>0</v>
      </c>
      <c r="AT209" s="1">
        <f t="shared" si="13"/>
        <v>0</v>
      </c>
      <c r="AU209" s="1">
        <f t="shared" si="10"/>
        <v>0</v>
      </c>
      <c r="AV209" s="1">
        <f t="shared" si="11"/>
        <v>0</v>
      </c>
      <c r="AW209" s="1">
        <f t="shared" si="12"/>
        <v>0</v>
      </c>
    </row>
    <row r="210" spans="1:49" x14ac:dyDescent="0.25">
      <c r="A210" t="s">
        <v>31</v>
      </c>
      <c r="B210" t="s">
        <v>32</v>
      </c>
      <c r="C210">
        <v>60101004</v>
      </c>
      <c r="D210" t="s">
        <v>242</v>
      </c>
      <c r="E210">
        <v>60101048</v>
      </c>
      <c r="F210" t="s">
        <v>34</v>
      </c>
      <c r="G210">
        <v>0</v>
      </c>
      <c r="H210">
        <v>1</v>
      </c>
      <c r="I210">
        <v>60101004</v>
      </c>
      <c r="J210">
        <v>0</v>
      </c>
      <c r="K210">
        <v>0</v>
      </c>
      <c r="L210">
        <v>39.14</v>
      </c>
      <c r="M210">
        <v>3.4140655739570294</v>
      </c>
      <c r="N210">
        <v>60</v>
      </c>
      <c r="O210">
        <v>6.3</v>
      </c>
      <c r="P210">
        <v>0.85</v>
      </c>
      <c r="Q210">
        <v>1</v>
      </c>
      <c r="R210">
        <v>9.06</v>
      </c>
      <c r="S210">
        <v>0.17430524999999997</v>
      </c>
      <c r="T210">
        <v>0.97835850000000002</v>
      </c>
      <c r="U210">
        <v>0.81473647500000002</v>
      </c>
      <c r="V210">
        <v>0.11807775</v>
      </c>
      <c r="W210">
        <v>0.12032685</v>
      </c>
      <c r="X210">
        <v>4.5999999999999988</v>
      </c>
      <c r="Y210">
        <v>0.153</v>
      </c>
      <c r="Z210">
        <v>0.5</v>
      </c>
      <c r="AA210">
        <v>0</v>
      </c>
      <c r="AB210">
        <v>9.5586749999999984E-2</v>
      </c>
      <c r="AC210">
        <v>0</v>
      </c>
      <c r="AD210">
        <v>0</v>
      </c>
      <c r="AE210">
        <v>0</v>
      </c>
      <c r="AG210">
        <f t="array" ref="AG210:AH210">T1T2(T210,S210,V210,X210,Y210)</f>
        <v>0.7750890089071274</v>
      </c>
      <c r="AH210">
        <v>0.10958919341420129</v>
      </c>
      <c r="AJ210">
        <f t="array" ref="AJ210:AM210">Canay(T210,AB210,S210,V210,AG210,AH210)</f>
        <v>0.29783953463274121</v>
      </c>
      <c r="AK210">
        <v>0.12612670771835227</v>
      </c>
      <c r="AL210">
        <v>0.66711518261994063</v>
      </c>
      <c r="AM210">
        <v>2.8247870349409451E-2</v>
      </c>
      <c r="AO210" s="1">
        <f t="array" ref="AO210:AR210">Niipt(T210,AB210,S210,V210,X210,Y210)</f>
        <v>0</v>
      </c>
      <c r="AP210" s="1">
        <v>0</v>
      </c>
      <c r="AQ210" s="1">
        <v>0</v>
      </c>
      <c r="AR210" s="1">
        <v>0</v>
      </c>
      <c r="AT210" s="1">
        <f t="shared" si="13"/>
        <v>0</v>
      </c>
      <c r="AU210" s="1">
        <f t="shared" ref="AU210:AU273" si="14">IF(AP210&gt;0,(AK210-AP210)/AK210*100,0)</f>
        <v>0</v>
      </c>
      <c r="AV210" s="1">
        <f t="shared" ref="AV210:AV273" si="15">IF(AQ210&gt;0,(AL210-AQ210)/AL210*100,0)</f>
        <v>0</v>
      </c>
      <c r="AW210" s="1">
        <f t="shared" ref="AW210:AW273" si="16">IF(AR210&gt;0,(AM210-AR210)/AM210*100,0)</f>
        <v>0</v>
      </c>
    </row>
    <row r="211" spans="1:49" x14ac:dyDescent="0.25">
      <c r="A211" t="s">
        <v>31</v>
      </c>
      <c r="B211" t="s">
        <v>32</v>
      </c>
      <c r="C211">
        <v>60101308</v>
      </c>
      <c r="D211" t="s">
        <v>243</v>
      </c>
      <c r="E211">
        <v>60101014</v>
      </c>
      <c r="F211" t="s">
        <v>34</v>
      </c>
      <c r="G211">
        <v>0</v>
      </c>
      <c r="H211">
        <v>1</v>
      </c>
      <c r="I211">
        <v>60101308</v>
      </c>
      <c r="J211">
        <v>0</v>
      </c>
      <c r="K211">
        <v>0</v>
      </c>
      <c r="L211">
        <v>0</v>
      </c>
      <c r="M211">
        <v>31.133816040011695</v>
      </c>
      <c r="N211">
        <v>114.9</v>
      </c>
      <c r="O211">
        <v>10.5</v>
      </c>
      <c r="P211">
        <v>0.8</v>
      </c>
      <c r="Q211">
        <v>1</v>
      </c>
      <c r="R211">
        <v>6.93</v>
      </c>
      <c r="S211">
        <v>0.208026109660574</v>
      </c>
      <c r="T211">
        <v>1.5636501305482997</v>
      </c>
      <c r="U211">
        <v>1.4093577023498698</v>
      </c>
      <c r="V211">
        <v>0.14508093994778098</v>
      </c>
      <c r="W211">
        <v>0.15966579634464798</v>
      </c>
      <c r="X211">
        <v>6.7</v>
      </c>
      <c r="Y211">
        <v>0.16</v>
      </c>
      <c r="Z211">
        <v>0.5</v>
      </c>
      <c r="AA211">
        <v>0</v>
      </c>
      <c r="AB211">
        <v>0.11744647519582201</v>
      </c>
      <c r="AC211">
        <v>0</v>
      </c>
      <c r="AD211">
        <v>0</v>
      </c>
      <c r="AE211">
        <v>0</v>
      </c>
      <c r="AG211">
        <f t="array" ref="AG211:AH211">T1T2(T211,S211,V211,X211,Y211)</f>
        <v>0.84599530488957297</v>
      </c>
      <c r="AH211">
        <v>0.11757029495424506</v>
      </c>
      <c r="AJ211">
        <f t="array" ref="AJ211:AM211">Canay(T211,AB211,S211,V211,AG211,AH211)</f>
        <v>0.32502907349659027</v>
      </c>
      <c r="AK211">
        <v>0.14234371655403966</v>
      </c>
      <c r="AL211">
        <v>0.75095255594238519</v>
      </c>
      <c r="AM211">
        <v>3.5124713974263741E-2</v>
      </c>
      <c r="AO211" s="1">
        <f t="array" ref="AO211:AR211">Niipt(T211,AB211,S211,V211,X211,Y211)</f>
        <v>0</v>
      </c>
      <c r="AP211" s="1">
        <v>0</v>
      </c>
      <c r="AQ211" s="1">
        <v>0</v>
      </c>
      <c r="AR211" s="1">
        <v>0</v>
      </c>
      <c r="AT211" s="1">
        <f t="shared" si="13"/>
        <v>0</v>
      </c>
      <c r="AU211" s="1">
        <f t="shared" si="14"/>
        <v>0</v>
      </c>
      <c r="AV211" s="1">
        <f t="shared" si="15"/>
        <v>0</v>
      </c>
      <c r="AW211" s="1">
        <f t="shared" si="16"/>
        <v>0</v>
      </c>
    </row>
    <row r="212" spans="1:49" x14ac:dyDescent="0.25">
      <c r="A212" t="s">
        <v>31</v>
      </c>
      <c r="B212" t="s">
        <v>32</v>
      </c>
      <c r="C212">
        <v>60601005</v>
      </c>
      <c r="D212" t="s">
        <v>244</v>
      </c>
      <c r="E212">
        <v>60601008</v>
      </c>
      <c r="F212" t="s">
        <v>34</v>
      </c>
      <c r="G212">
        <v>0</v>
      </c>
      <c r="H212">
        <v>1</v>
      </c>
      <c r="I212">
        <v>60601005</v>
      </c>
      <c r="J212">
        <v>0</v>
      </c>
      <c r="K212">
        <v>0</v>
      </c>
      <c r="L212">
        <v>0</v>
      </c>
      <c r="M212">
        <v>0</v>
      </c>
      <c r="N212">
        <v>125</v>
      </c>
      <c r="O212">
        <v>10.5</v>
      </c>
      <c r="P212">
        <v>0.85</v>
      </c>
      <c r="Q212">
        <v>1</v>
      </c>
      <c r="R212">
        <v>6.3330000000000002</v>
      </c>
      <c r="S212">
        <v>0.21291479999999999</v>
      </c>
      <c r="T212">
        <v>1.6343460000000001</v>
      </c>
      <c r="U212">
        <v>1.4709114000000001</v>
      </c>
      <c r="V212">
        <v>0.1461915</v>
      </c>
      <c r="W212">
        <v>0.1619352</v>
      </c>
      <c r="X212">
        <v>6.76</v>
      </c>
      <c r="Y212">
        <v>0.2</v>
      </c>
      <c r="Z212">
        <v>0.5</v>
      </c>
      <c r="AA212">
        <v>0</v>
      </c>
      <c r="AB212">
        <v>0.14244299999999999</v>
      </c>
      <c r="AC212">
        <v>0</v>
      </c>
      <c r="AD212">
        <v>0</v>
      </c>
      <c r="AE212">
        <v>0</v>
      </c>
      <c r="AG212">
        <f t="array" ref="AG212:AH212">T1T2(T212,S212,V212,X212,Y212)</f>
        <v>0.82021202865560283</v>
      </c>
      <c r="AH212">
        <v>0.14744453335406177</v>
      </c>
      <c r="AJ212">
        <f t="array" ref="AJ212:AM212">Canay(T212,AB212,S212,V212,AG212,AH212)</f>
        <v>0.47378757302726332</v>
      </c>
      <c r="AK212">
        <v>0.18323242611222793</v>
      </c>
      <c r="AL212">
        <v>0.43679207087059396</v>
      </c>
      <c r="AM212">
        <v>3.8366280616794375E-3</v>
      </c>
      <c r="AO212" s="1">
        <f t="array" ref="AO212:AR212">Niipt(T212,AB212,S212,V212,X212,Y212)</f>
        <v>0</v>
      </c>
      <c r="AP212" s="1">
        <v>0</v>
      </c>
      <c r="AQ212" s="1">
        <v>0</v>
      </c>
      <c r="AR212" s="1">
        <v>0</v>
      </c>
      <c r="AT212" s="1">
        <f t="shared" si="13"/>
        <v>0</v>
      </c>
      <c r="AU212" s="1">
        <f t="shared" si="14"/>
        <v>0</v>
      </c>
      <c r="AV212" s="1">
        <f t="shared" si="15"/>
        <v>0</v>
      </c>
      <c r="AW212" s="1">
        <f t="shared" si="16"/>
        <v>0</v>
      </c>
    </row>
    <row r="213" spans="1:49" x14ac:dyDescent="0.25">
      <c r="A213" t="s">
        <v>31</v>
      </c>
      <c r="B213" t="s">
        <v>32</v>
      </c>
      <c r="C213">
        <v>60605036</v>
      </c>
      <c r="D213" t="s">
        <v>245</v>
      </c>
      <c r="E213">
        <v>60605011</v>
      </c>
      <c r="F213" t="s">
        <v>34</v>
      </c>
      <c r="G213">
        <v>0</v>
      </c>
      <c r="H213">
        <v>1</v>
      </c>
      <c r="I213">
        <v>60605036</v>
      </c>
      <c r="J213">
        <v>0</v>
      </c>
      <c r="K213">
        <v>0</v>
      </c>
      <c r="L213">
        <v>0</v>
      </c>
      <c r="M213">
        <v>0</v>
      </c>
      <c r="N213">
        <v>63</v>
      </c>
      <c r="O213">
        <v>6.3</v>
      </c>
      <c r="P213">
        <v>0.8</v>
      </c>
      <c r="Q213">
        <v>1</v>
      </c>
      <c r="R213">
        <v>2.5</v>
      </c>
      <c r="S213">
        <v>0.27499999999999997</v>
      </c>
      <c r="T213">
        <v>1.915</v>
      </c>
      <c r="U213">
        <v>1.7230000000000001</v>
      </c>
      <c r="V213">
        <v>0.18</v>
      </c>
      <c r="W213">
        <v>0.19800000000000001</v>
      </c>
      <c r="X213">
        <v>6.09</v>
      </c>
      <c r="Y213">
        <v>0.2</v>
      </c>
      <c r="Z213">
        <v>0.5</v>
      </c>
      <c r="AA213">
        <v>0</v>
      </c>
      <c r="AB213">
        <v>0.17799999999999996</v>
      </c>
      <c r="AC213">
        <v>0</v>
      </c>
      <c r="AD213">
        <v>0</v>
      </c>
      <c r="AE213">
        <v>0</v>
      </c>
      <c r="AG213">
        <f t="array" ref="AG213:AH213">T1T2(T213,S213,V213,X213,Y213)</f>
        <v>0.80815374412649754</v>
      </c>
      <c r="AH213">
        <v>0.14166319282530476</v>
      </c>
      <c r="AJ213">
        <f t="array" ref="AJ213:AM213">Canay(T213,AB213,S213,V213,AG213,AH213)</f>
        <v>0.60649037830714125</v>
      </c>
      <c r="AK213">
        <v>0.24202882233371312</v>
      </c>
      <c r="AL213">
        <v>0.57451835249153149</v>
      </c>
      <c r="AM213">
        <v>2.0190087434170368E-3</v>
      </c>
      <c r="AO213" s="1">
        <f t="array" ref="AO213:AR213">Niipt(T213,AB213,S213,V213,X213,Y213)</f>
        <v>0</v>
      </c>
      <c r="AP213" s="1">
        <v>0</v>
      </c>
      <c r="AQ213" s="1">
        <v>0</v>
      </c>
      <c r="AR213" s="1">
        <v>0</v>
      </c>
      <c r="AT213" s="1">
        <f t="shared" si="13"/>
        <v>0</v>
      </c>
      <c r="AU213" s="1">
        <f t="shared" si="14"/>
        <v>0</v>
      </c>
      <c r="AV213" s="1">
        <f t="shared" si="15"/>
        <v>0</v>
      </c>
      <c r="AW213" s="1">
        <f t="shared" si="16"/>
        <v>0</v>
      </c>
    </row>
    <row r="214" spans="1:49" x14ac:dyDescent="0.25">
      <c r="A214" t="s">
        <v>31</v>
      </c>
      <c r="B214" t="s">
        <v>32</v>
      </c>
      <c r="C214">
        <v>60607050</v>
      </c>
      <c r="D214" t="s">
        <v>246</v>
      </c>
      <c r="E214">
        <v>60607001</v>
      </c>
      <c r="F214" t="s">
        <v>34</v>
      </c>
      <c r="G214">
        <v>0</v>
      </c>
      <c r="H214">
        <v>1</v>
      </c>
      <c r="I214">
        <v>60607050</v>
      </c>
      <c r="J214">
        <v>0</v>
      </c>
      <c r="K214">
        <v>0</v>
      </c>
      <c r="L214">
        <v>0</v>
      </c>
      <c r="M214">
        <v>0</v>
      </c>
      <c r="N214">
        <v>12</v>
      </c>
      <c r="O214">
        <v>6.3</v>
      </c>
      <c r="P214">
        <v>0.8</v>
      </c>
      <c r="Q214">
        <v>1</v>
      </c>
      <c r="R214">
        <v>3.3519999999999999</v>
      </c>
      <c r="S214">
        <v>0.58899959999999996</v>
      </c>
      <c r="T214">
        <v>5.6063447999999996</v>
      </c>
      <c r="U214">
        <v>5.6063447999999996</v>
      </c>
      <c r="V214">
        <v>0.33789419999999998</v>
      </c>
      <c r="W214">
        <v>0.5733881999999999</v>
      </c>
      <c r="X214">
        <v>5.8070000000000004</v>
      </c>
      <c r="Y214">
        <v>0.2</v>
      </c>
      <c r="Z214">
        <v>0.5</v>
      </c>
      <c r="AA214">
        <v>0</v>
      </c>
      <c r="AB214">
        <v>0.240786</v>
      </c>
      <c r="AC214">
        <v>0</v>
      </c>
      <c r="AD214">
        <v>0</v>
      </c>
      <c r="AE214">
        <v>0</v>
      </c>
      <c r="AG214">
        <f t="array" ref="AG214:AH214">T1T2(T214,S214,V214,X214,Y214)</f>
        <v>0.5160377939059515</v>
      </c>
      <c r="AH214">
        <v>0.1356442050716975</v>
      </c>
      <c r="AJ214">
        <f t="array" ref="AJ214:AM214">Canay(T214,AB214,S214,V214,AG214,AH214)</f>
        <v>1.8933651323993181</v>
      </c>
      <c r="AK214">
        <v>0.66564579329877693</v>
      </c>
      <c r="AL214">
        <v>1.9427970299155928</v>
      </c>
      <c r="AM214">
        <v>0.11615592868027393</v>
      </c>
      <c r="AO214" s="1">
        <f t="array" ref="AO214:AR214">Niipt(T214,AB214,S214,V214,X214,Y214)</f>
        <v>0</v>
      </c>
      <c r="AP214" s="1">
        <v>0</v>
      </c>
      <c r="AQ214" s="1">
        <v>0</v>
      </c>
      <c r="AR214" s="1">
        <v>0</v>
      </c>
      <c r="AT214" s="1">
        <f t="shared" si="13"/>
        <v>0</v>
      </c>
      <c r="AU214" s="1">
        <f t="shared" si="14"/>
        <v>0</v>
      </c>
      <c r="AV214" s="1">
        <f t="shared" si="15"/>
        <v>0</v>
      </c>
      <c r="AW214" s="1">
        <f t="shared" si="16"/>
        <v>0</v>
      </c>
    </row>
    <row r="215" spans="1:49" x14ac:dyDescent="0.25">
      <c r="A215" t="s">
        <v>31</v>
      </c>
      <c r="B215" t="s">
        <v>32</v>
      </c>
      <c r="C215">
        <v>60607049</v>
      </c>
      <c r="D215" t="s">
        <v>247</v>
      </c>
      <c r="E215">
        <v>60607003</v>
      </c>
      <c r="F215" t="s">
        <v>34</v>
      </c>
      <c r="G215">
        <v>0</v>
      </c>
      <c r="H215">
        <v>1</v>
      </c>
      <c r="I215">
        <v>60607049</v>
      </c>
      <c r="J215">
        <v>0</v>
      </c>
      <c r="K215">
        <v>0</v>
      </c>
      <c r="L215">
        <v>0</v>
      </c>
      <c r="M215">
        <v>0</v>
      </c>
      <c r="N215">
        <v>12</v>
      </c>
      <c r="O215">
        <v>6.3</v>
      </c>
      <c r="P215">
        <v>0.8</v>
      </c>
      <c r="Q215">
        <v>1</v>
      </c>
      <c r="R215">
        <v>3.3519999999999999</v>
      </c>
      <c r="S215">
        <v>0.58899959999999996</v>
      </c>
      <c r="T215">
        <v>5.6063447999999996</v>
      </c>
      <c r="U215">
        <v>5.6063447999999996</v>
      </c>
      <c r="V215">
        <v>0.33789419999999998</v>
      </c>
      <c r="W215">
        <v>0.5733881999999999</v>
      </c>
      <c r="X215">
        <v>5.8070000000000004</v>
      </c>
      <c r="Y215">
        <v>0.2</v>
      </c>
      <c r="Z215">
        <v>0.5</v>
      </c>
      <c r="AA215">
        <v>0</v>
      </c>
      <c r="AB215">
        <v>0.240786</v>
      </c>
      <c r="AC215">
        <v>0</v>
      </c>
      <c r="AD215">
        <v>0</v>
      </c>
      <c r="AE215">
        <v>0</v>
      </c>
      <c r="AG215">
        <f t="array" ref="AG215:AH215">T1T2(T215,S215,V215,X215,Y215)</f>
        <v>0.5160377939059515</v>
      </c>
      <c r="AH215">
        <v>0.1356442050716975</v>
      </c>
      <c r="AJ215">
        <f t="array" ref="AJ215:AM215">Canay(T215,AB215,S215,V215,AG215,AH215)</f>
        <v>1.8933651323993181</v>
      </c>
      <c r="AK215">
        <v>0.66564579329877693</v>
      </c>
      <c r="AL215">
        <v>1.9427970299155928</v>
      </c>
      <c r="AM215">
        <v>0.11615592868027393</v>
      </c>
      <c r="AO215" s="1">
        <f t="array" ref="AO215:AR215">Niipt(T215,AB215,S215,V215,X215,Y215)</f>
        <v>0</v>
      </c>
      <c r="AP215" s="1">
        <v>0</v>
      </c>
      <c r="AQ215" s="1">
        <v>0</v>
      </c>
      <c r="AR215" s="1">
        <v>0</v>
      </c>
      <c r="AT215" s="1">
        <f t="shared" si="13"/>
        <v>0</v>
      </c>
      <c r="AU215" s="1">
        <f t="shared" si="14"/>
        <v>0</v>
      </c>
      <c r="AV215" s="1">
        <f t="shared" si="15"/>
        <v>0</v>
      </c>
      <c r="AW215" s="1">
        <f t="shared" si="16"/>
        <v>0</v>
      </c>
    </row>
    <row r="216" spans="1:49" x14ac:dyDescent="0.25">
      <c r="A216" t="s">
        <v>31</v>
      </c>
      <c r="B216" t="s">
        <v>32</v>
      </c>
      <c r="C216">
        <v>60617060</v>
      </c>
      <c r="D216" t="s">
        <v>248</v>
      </c>
      <c r="E216">
        <v>60617001</v>
      </c>
      <c r="F216" t="s">
        <v>34</v>
      </c>
      <c r="G216">
        <v>0</v>
      </c>
      <c r="H216">
        <v>1</v>
      </c>
      <c r="I216">
        <v>60617060</v>
      </c>
      <c r="J216">
        <v>0</v>
      </c>
      <c r="K216">
        <v>0</v>
      </c>
      <c r="L216">
        <v>0</v>
      </c>
      <c r="M216">
        <v>0</v>
      </c>
      <c r="N216">
        <v>149</v>
      </c>
      <c r="O216">
        <v>15.75</v>
      </c>
      <c r="P216">
        <v>0.8</v>
      </c>
      <c r="Q216">
        <v>1</v>
      </c>
      <c r="R216">
        <v>18.375</v>
      </c>
      <c r="S216">
        <v>0.23973825503355697</v>
      </c>
      <c r="T216">
        <v>3.06332214765101</v>
      </c>
      <c r="U216">
        <v>3.06332214765101</v>
      </c>
      <c r="V216">
        <v>0.17314429530201297</v>
      </c>
      <c r="W216">
        <v>0.16648489932885899</v>
      </c>
      <c r="X216">
        <v>16.5</v>
      </c>
      <c r="Y216">
        <v>0.2</v>
      </c>
      <c r="Z216">
        <v>0.5</v>
      </c>
      <c r="AA216">
        <v>0</v>
      </c>
      <c r="AB216">
        <v>6.6593959731543598E-2</v>
      </c>
      <c r="AC216">
        <v>0</v>
      </c>
      <c r="AD216">
        <v>0</v>
      </c>
      <c r="AE216">
        <v>0</v>
      </c>
      <c r="AG216">
        <f t="array" ref="AG216:AH216">T1T2(T216,S216,V216,X216,Y216)</f>
        <v>1.2371711197407018</v>
      </c>
      <c r="AH216">
        <v>0.15076470518445909</v>
      </c>
      <c r="AJ216">
        <f t="array" ref="AJ216:AM216">Canay(T216,AB216,S216,V216,AG216,AH216)</f>
        <v>0.21170652754013194</v>
      </c>
      <c r="AK216">
        <v>0.19480232431963804</v>
      </c>
      <c r="AL216">
        <v>2.0015189629404655</v>
      </c>
      <c r="AM216">
        <v>0.25522383624405015</v>
      </c>
      <c r="AO216" s="1">
        <f t="array" ref="AO216:AR216">Niipt(T216,AB216,S216,V216,X216,Y216)</f>
        <v>0.21046159093448435</v>
      </c>
      <c r="AP216" s="1">
        <v>0.18376163416487268</v>
      </c>
      <c r="AQ216" s="1">
        <v>2.0615257143994654</v>
      </c>
      <c r="AR216" s="1">
        <v>0.27703087248321867</v>
      </c>
      <c r="AT216" s="1">
        <f t="shared" si="13"/>
        <v>0.58804828557380895</v>
      </c>
      <c r="AU216" s="1">
        <f t="shared" si="14"/>
        <v>5.6676377929913366</v>
      </c>
      <c r="AV216" s="1">
        <f t="shared" si="15"/>
        <v>-2.9980606014765399</v>
      </c>
      <c r="AW216" s="1">
        <f t="shared" si="16"/>
        <v>-8.5442788416972917</v>
      </c>
    </row>
    <row r="217" spans="1:49" x14ac:dyDescent="0.25">
      <c r="A217" t="s">
        <v>31</v>
      </c>
      <c r="B217" t="s">
        <v>32</v>
      </c>
      <c r="C217">
        <v>60617061</v>
      </c>
      <c r="D217" t="s">
        <v>249</v>
      </c>
      <c r="E217">
        <v>60617002</v>
      </c>
      <c r="F217" t="s">
        <v>34</v>
      </c>
      <c r="G217">
        <v>0</v>
      </c>
      <c r="H217">
        <v>1</v>
      </c>
      <c r="I217">
        <v>60617061</v>
      </c>
      <c r="J217">
        <v>0</v>
      </c>
      <c r="K217">
        <v>0</v>
      </c>
      <c r="L217">
        <v>0</v>
      </c>
      <c r="M217">
        <v>0</v>
      </c>
      <c r="N217">
        <v>149</v>
      </c>
      <c r="O217">
        <v>15.75</v>
      </c>
      <c r="P217">
        <v>0.8</v>
      </c>
      <c r="Q217">
        <v>1</v>
      </c>
      <c r="R217">
        <v>18.375</v>
      </c>
      <c r="S217">
        <v>0.23973825503355697</v>
      </c>
      <c r="T217">
        <v>3.06332214765101</v>
      </c>
      <c r="U217">
        <v>3.06332214765101</v>
      </c>
      <c r="V217">
        <v>0.17314429530201297</v>
      </c>
      <c r="W217">
        <v>0.16648489932885899</v>
      </c>
      <c r="X217">
        <v>16.5</v>
      </c>
      <c r="Y217">
        <v>0.2</v>
      </c>
      <c r="Z217">
        <v>0.5</v>
      </c>
      <c r="AA217">
        <v>0</v>
      </c>
      <c r="AB217">
        <v>6.6593959731543598E-2</v>
      </c>
      <c r="AC217">
        <v>0</v>
      </c>
      <c r="AD217">
        <v>0</v>
      </c>
      <c r="AE217">
        <v>0</v>
      </c>
      <c r="AG217">
        <f t="array" ref="AG217:AH217">T1T2(T217,S217,V217,X217,Y217)</f>
        <v>1.2371711197407018</v>
      </c>
      <c r="AH217">
        <v>0.15076470518445909</v>
      </c>
      <c r="AJ217">
        <f t="array" ref="AJ217:AM217">Canay(T217,AB217,S217,V217,AG217,AH217)</f>
        <v>0.21170652754013194</v>
      </c>
      <c r="AK217">
        <v>0.19480232431963804</v>
      </c>
      <c r="AL217">
        <v>2.0015189629404655</v>
      </c>
      <c r="AM217">
        <v>0.25522383624405015</v>
      </c>
      <c r="AO217" s="1">
        <f t="array" ref="AO217:AR217">Niipt(T217,AB217,S217,V217,X217,Y217)</f>
        <v>0.21046159093448435</v>
      </c>
      <c r="AP217" s="1">
        <v>0.18376163416487268</v>
      </c>
      <c r="AQ217" s="1">
        <v>2.0615257143994654</v>
      </c>
      <c r="AR217" s="1">
        <v>0.27703087248321867</v>
      </c>
      <c r="AT217" s="1">
        <f t="shared" si="13"/>
        <v>0.58804828557380895</v>
      </c>
      <c r="AU217" s="1">
        <f t="shared" si="14"/>
        <v>5.6676377929913366</v>
      </c>
      <c r="AV217" s="1">
        <f t="shared" si="15"/>
        <v>-2.9980606014765399</v>
      </c>
      <c r="AW217" s="1">
        <f t="shared" si="16"/>
        <v>-8.5442788416972917</v>
      </c>
    </row>
    <row r="218" spans="1:49" x14ac:dyDescent="0.25">
      <c r="A218" t="s">
        <v>31</v>
      </c>
      <c r="B218" t="s">
        <v>32</v>
      </c>
      <c r="C218">
        <v>60609005</v>
      </c>
      <c r="D218" t="s">
        <v>250</v>
      </c>
      <c r="E218">
        <v>60609002</v>
      </c>
      <c r="F218" t="s">
        <v>34</v>
      </c>
      <c r="G218">
        <v>0</v>
      </c>
      <c r="H218">
        <v>1</v>
      </c>
      <c r="I218">
        <v>60609005</v>
      </c>
      <c r="J218">
        <v>0</v>
      </c>
      <c r="K218">
        <v>0</v>
      </c>
      <c r="L218">
        <v>0</v>
      </c>
      <c r="M218">
        <v>0</v>
      </c>
      <c r="N218">
        <v>24</v>
      </c>
      <c r="O218">
        <v>6.3</v>
      </c>
      <c r="P218">
        <v>0.8</v>
      </c>
      <c r="Q218">
        <v>1</v>
      </c>
      <c r="R218">
        <v>9.6790000000000003</v>
      </c>
      <c r="S218">
        <v>0.33074999999999999</v>
      </c>
      <c r="T218">
        <v>3.9689999999999999</v>
      </c>
      <c r="U218">
        <v>3.9689999999999999</v>
      </c>
      <c r="V218">
        <v>0.17331299999999997</v>
      </c>
      <c r="W218">
        <v>0.17331299999999997</v>
      </c>
      <c r="X218">
        <v>10</v>
      </c>
      <c r="Y218">
        <v>0.2</v>
      </c>
      <c r="Z218">
        <v>0.5</v>
      </c>
      <c r="AA218">
        <v>0</v>
      </c>
      <c r="AB218">
        <v>0.15875999999999998</v>
      </c>
      <c r="AC218">
        <v>0</v>
      </c>
      <c r="AD218">
        <v>0</v>
      </c>
      <c r="AE218">
        <v>0</v>
      </c>
      <c r="AG218">
        <f t="array" ref="AG218:AH218">T1T2(T218,S218,V218,X218,Y218)</f>
        <v>0.73161684377882563</v>
      </c>
      <c r="AH218">
        <v>0.11937031531730967</v>
      </c>
      <c r="AJ218">
        <f t="array" ref="AJ218:AM218">Canay(T218,AB218,S218,V218,AG218,AH218)</f>
        <v>0.69716698784218212</v>
      </c>
      <c r="AK218">
        <v>0.30971638689608466</v>
      </c>
      <c r="AL218">
        <v>0.89165213000511734</v>
      </c>
      <c r="AM218">
        <v>1.5331981074224893E-2</v>
      </c>
      <c r="AO218" s="1">
        <f t="array" ref="AO218:AR218">Niipt(T218,AB218,S218,V218,X218,Y218)</f>
        <v>0</v>
      </c>
      <c r="AP218" s="1">
        <v>0</v>
      </c>
      <c r="AQ218" s="1">
        <v>0</v>
      </c>
      <c r="AR218" s="1">
        <v>0</v>
      </c>
      <c r="AT218" s="1">
        <f t="shared" si="13"/>
        <v>0</v>
      </c>
      <c r="AU218" s="1">
        <f t="shared" si="14"/>
        <v>0</v>
      </c>
      <c r="AV218" s="1">
        <f t="shared" si="15"/>
        <v>0</v>
      </c>
      <c r="AW218" s="1">
        <f t="shared" si="16"/>
        <v>0</v>
      </c>
    </row>
    <row r="219" spans="1:49" x14ac:dyDescent="0.25">
      <c r="A219" t="s">
        <v>31</v>
      </c>
      <c r="B219" t="s">
        <v>32</v>
      </c>
      <c r="C219">
        <v>60610003</v>
      </c>
      <c r="D219" t="s">
        <v>251</v>
      </c>
      <c r="E219">
        <v>60610004</v>
      </c>
      <c r="F219" t="s">
        <v>34</v>
      </c>
      <c r="G219">
        <v>0</v>
      </c>
      <c r="H219">
        <v>1</v>
      </c>
      <c r="I219">
        <v>60610003</v>
      </c>
      <c r="J219">
        <v>0</v>
      </c>
      <c r="K219">
        <v>0</v>
      </c>
      <c r="L219">
        <v>0</v>
      </c>
      <c r="M219">
        <v>0</v>
      </c>
      <c r="N219">
        <v>70</v>
      </c>
      <c r="O219">
        <v>6.3</v>
      </c>
      <c r="P219">
        <v>0.85</v>
      </c>
      <c r="Q219">
        <v>1</v>
      </c>
      <c r="R219">
        <v>8.3170000000000002</v>
      </c>
      <c r="S219">
        <v>0.1590435</v>
      </c>
      <c r="T219">
        <v>0.92534400000000006</v>
      </c>
      <c r="U219">
        <v>0.85015979999999991</v>
      </c>
      <c r="V219">
        <v>0.10795680000000001</v>
      </c>
      <c r="W219">
        <v>0.10795680000000001</v>
      </c>
      <c r="X219">
        <v>4.7</v>
      </c>
      <c r="Y219">
        <v>0.2</v>
      </c>
      <c r="Z219">
        <v>0.5</v>
      </c>
      <c r="AA219">
        <v>0</v>
      </c>
      <c r="AB219">
        <v>6.3617400000000005E-2</v>
      </c>
      <c r="AC219">
        <v>0</v>
      </c>
      <c r="AD219">
        <v>0</v>
      </c>
      <c r="AE219">
        <v>0</v>
      </c>
      <c r="AG219">
        <f t="array" ref="AG219:AH219">T1T2(T219,S219,V219,X219,Y219)</f>
        <v>0.74755225367603484</v>
      </c>
      <c r="AH219">
        <v>0.14670100468213243</v>
      </c>
      <c r="AJ219">
        <f t="array" ref="AJ219:AM219">Canay(T219,AB219,S219,V219,AG219,AH219)</f>
        <v>0.27571500487214051</v>
      </c>
      <c r="AK219">
        <v>0.13846986521831131</v>
      </c>
      <c r="AL219">
        <v>0.73273086977366009</v>
      </c>
      <c r="AM219">
        <v>7.0566371615197063E-2</v>
      </c>
      <c r="AO219" s="1">
        <f t="array" ref="AO219:AR219">Niipt(T219,AB219,S219,V219,X219,Y219)</f>
        <v>0.28001644918685559</v>
      </c>
      <c r="AP219" s="1">
        <v>0.10730935018867925</v>
      </c>
      <c r="AQ219" s="1">
        <v>0.65622835414627889</v>
      </c>
      <c r="AR219" s="1">
        <v>8.2822652830188651E-2</v>
      </c>
      <c r="AT219" s="1">
        <f t="shared" si="13"/>
        <v>-1.5601052676512175</v>
      </c>
      <c r="AU219" s="1">
        <f t="shared" si="14"/>
        <v>22.503463104051164</v>
      </c>
      <c r="AV219" s="1">
        <f t="shared" si="15"/>
        <v>10.440738719116988</v>
      </c>
      <c r="AW219" s="1">
        <f t="shared" si="16"/>
        <v>-17.368444677623319</v>
      </c>
    </row>
    <row r="220" spans="1:49" x14ac:dyDescent="0.25">
      <c r="A220" t="s">
        <v>31</v>
      </c>
      <c r="B220" t="s">
        <v>32</v>
      </c>
      <c r="C220">
        <v>60523005</v>
      </c>
      <c r="D220" t="s">
        <v>252</v>
      </c>
      <c r="E220">
        <v>60523005</v>
      </c>
      <c r="F220" t="s">
        <v>34</v>
      </c>
      <c r="G220">
        <v>0</v>
      </c>
      <c r="H220">
        <v>1</v>
      </c>
      <c r="I220">
        <v>60523005</v>
      </c>
      <c r="J220">
        <v>0</v>
      </c>
      <c r="K220">
        <v>0</v>
      </c>
      <c r="L220">
        <v>0</v>
      </c>
      <c r="M220">
        <v>0</v>
      </c>
      <c r="N220">
        <v>800</v>
      </c>
      <c r="O220">
        <v>24</v>
      </c>
      <c r="P220">
        <v>0.9</v>
      </c>
      <c r="Q220">
        <v>1</v>
      </c>
      <c r="R220">
        <v>5.52</v>
      </c>
      <c r="S220">
        <v>0.196992</v>
      </c>
      <c r="T220">
        <v>1.4774400000000001</v>
      </c>
      <c r="U220">
        <v>1.4774400000000001</v>
      </c>
      <c r="V220">
        <v>0.13996800000000001</v>
      </c>
      <c r="W220">
        <v>0.13996800000000001</v>
      </c>
      <c r="X220">
        <v>9.1999999999999993</v>
      </c>
      <c r="Y220">
        <v>0.16888899999999998</v>
      </c>
      <c r="Z220">
        <v>0.5</v>
      </c>
      <c r="AA220">
        <v>0</v>
      </c>
      <c r="AB220">
        <v>0.10555596</v>
      </c>
      <c r="AC220">
        <v>0</v>
      </c>
      <c r="AD220">
        <v>0</v>
      </c>
      <c r="AE220">
        <v>0</v>
      </c>
      <c r="AG220">
        <f t="array" ref="AG220:AH220">T1T2(T220,S220,V220,X220,Y220)</f>
        <v>1.1818347615162019</v>
      </c>
      <c r="AH220">
        <v>0.12455218075770505</v>
      </c>
      <c r="AJ220">
        <f t="array" ref="AJ220:AM220">Canay(T220,AB220,S220,V220,AG220,AH220)</f>
        <v>0.19738818785432349</v>
      </c>
      <c r="AK220">
        <v>0.12307806301052465</v>
      </c>
      <c r="AL220">
        <v>0.79177606590674432</v>
      </c>
      <c r="AM220">
        <v>4.9490869475155547E-2</v>
      </c>
      <c r="AO220" s="1">
        <f t="array" ref="AO220:AR220">Niipt(T220,AB220,S220,V220,X220,Y220)</f>
        <v>0.20145856329675424</v>
      </c>
      <c r="AP220" s="1">
        <v>9.7965433939372459E-2</v>
      </c>
      <c r="AQ220" s="1">
        <v>0.68845423709962217</v>
      </c>
      <c r="AR220" s="1">
        <v>5.5178533002272732E-2</v>
      </c>
      <c r="AT220" s="1">
        <f t="shared" si="13"/>
        <v>-2.0621170327754195</v>
      </c>
      <c r="AU220" s="1">
        <f t="shared" si="14"/>
        <v>20.403822140916176</v>
      </c>
      <c r="AV220" s="1">
        <f t="shared" si="15"/>
        <v>13.049375101885365</v>
      </c>
      <c r="AW220" s="1">
        <f t="shared" si="16"/>
        <v>-11.492349169521859</v>
      </c>
    </row>
    <row r="221" spans="1:49" x14ac:dyDescent="0.25">
      <c r="A221" t="s">
        <v>31</v>
      </c>
      <c r="B221" t="s">
        <v>31</v>
      </c>
      <c r="C221">
        <v>60523103</v>
      </c>
      <c r="D221" t="s">
        <v>253</v>
      </c>
      <c r="E221">
        <v>60523103</v>
      </c>
      <c r="F221" t="s">
        <v>34</v>
      </c>
      <c r="G221">
        <v>0</v>
      </c>
      <c r="H221">
        <v>1</v>
      </c>
      <c r="I221">
        <v>60523103</v>
      </c>
      <c r="J221">
        <v>0</v>
      </c>
      <c r="K221">
        <v>0</v>
      </c>
      <c r="L221">
        <v>758.84</v>
      </c>
      <c r="M221">
        <v>342.32374057034895</v>
      </c>
      <c r="N221">
        <v>800</v>
      </c>
      <c r="O221">
        <v>24</v>
      </c>
      <c r="P221">
        <v>0.9</v>
      </c>
      <c r="Q221">
        <v>1</v>
      </c>
      <c r="R221">
        <v>5.52</v>
      </c>
      <c r="S221">
        <v>0.196992</v>
      </c>
      <c r="T221">
        <v>1.4774400000000001</v>
      </c>
      <c r="U221">
        <v>1.4774400000000001</v>
      </c>
      <c r="V221">
        <v>0.13996800000000001</v>
      </c>
      <c r="W221">
        <v>0.13996800000000001</v>
      </c>
      <c r="X221">
        <v>9.1999999999999993</v>
      </c>
      <c r="Y221">
        <v>0.16888899999999998</v>
      </c>
      <c r="Z221">
        <v>0.5</v>
      </c>
      <c r="AA221">
        <v>0</v>
      </c>
      <c r="AB221">
        <v>0.10555596</v>
      </c>
      <c r="AC221">
        <v>0</v>
      </c>
      <c r="AD221">
        <v>0</v>
      </c>
      <c r="AE221">
        <v>0</v>
      </c>
      <c r="AG221">
        <f t="array" ref="AG221:AH221">T1T2(T221,S221,V221,X221,Y221)</f>
        <v>1.1818347615162019</v>
      </c>
      <c r="AH221">
        <v>0.12455218075770505</v>
      </c>
      <c r="AJ221">
        <f t="array" ref="AJ221:AM221">Canay(T221,AB221,S221,V221,AG221,AH221)</f>
        <v>0.19738818785432349</v>
      </c>
      <c r="AK221">
        <v>0.12307806301052465</v>
      </c>
      <c r="AL221">
        <v>0.79177606590674432</v>
      </c>
      <c r="AM221">
        <v>4.9490869475155547E-2</v>
      </c>
      <c r="AO221" s="1">
        <f t="array" ref="AO221:AR221">Niipt(T221,AB221,S221,V221,X221,Y221)</f>
        <v>0.20145856329675424</v>
      </c>
      <c r="AP221" s="1">
        <v>9.7965433939372459E-2</v>
      </c>
      <c r="AQ221" s="1">
        <v>0.68845423709962217</v>
      </c>
      <c r="AR221" s="1">
        <v>5.5178533002272732E-2</v>
      </c>
      <c r="AT221" s="1">
        <f t="shared" si="13"/>
        <v>-2.0621170327754195</v>
      </c>
      <c r="AU221" s="1">
        <f t="shared" si="14"/>
        <v>20.403822140916176</v>
      </c>
      <c r="AV221" s="1">
        <f t="shared" si="15"/>
        <v>13.049375101885365</v>
      </c>
      <c r="AW221" s="1">
        <f t="shared" si="16"/>
        <v>-11.492349169521859</v>
      </c>
    </row>
    <row r="222" spans="1:49" x14ac:dyDescent="0.25">
      <c r="A222" t="s">
        <v>31</v>
      </c>
      <c r="B222" t="s">
        <v>32</v>
      </c>
      <c r="C222">
        <v>60523006</v>
      </c>
      <c r="D222" t="s">
        <v>254</v>
      </c>
      <c r="E222">
        <v>60523006</v>
      </c>
      <c r="F222" t="s">
        <v>34</v>
      </c>
      <c r="G222">
        <v>0</v>
      </c>
      <c r="H222">
        <v>1</v>
      </c>
      <c r="I222">
        <v>60523006</v>
      </c>
      <c r="J222">
        <v>0</v>
      </c>
      <c r="K222">
        <v>0</v>
      </c>
      <c r="L222">
        <v>0</v>
      </c>
      <c r="M222">
        <v>0</v>
      </c>
      <c r="N222">
        <v>800</v>
      </c>
      <c r="O222">
        <v>24</v>
      </c>
      <c r="P222">
        <v>0.9</v>
      </c>
      <c r="Q222">
        <v>1</v>
      </c>
      <c r="R222">
        <v>5.52</v>
      </c>
      <c r="S222">
        <v>0.196992</v>
      </c>
      <c r="T222">
        <v>1.4774400000000001</v>
      </c>
      <c r="U222">
        <v>1.4774400000000001</v>
      </c>
      <c r="V222">
        <v>0.13996800000000001</v>
      </c>
      <c r="W222">
        <v>0.13996800000000001</v>
      </c>
      <c r="X222">
        <v>9.1999999999999993</v>
      </c>
      <c r="Y222">
        <v>0.16888899999999998</v>
      </c>
      <c r="Z222">
        <v>0.5</v>
      </c>
      <c r="AA222">
        <v>0</v>
      </c>
      <c r="AB222">
        <v>0.10555596</v>
      </c>
      <c r="AC222">
        <v>0</v>
      </c>
      <c r="AD222">
        <v>0</v>
      </c>
      <c r="AE222">
        <v>0</v>
      </c>
      <c r="AG222">
        <f t="array" ref="AG222:AH222">T1T2(T222,S222,V222,X222,Y222)</f>
        <v>1.1818347615162019</v>
      </c>
      <c r="AH222">
        <v>0.12455218075770505</v>
      </c>
      <c r="AJ222">
        <f t="array" ref="AJ222:AM222">Canay(T222,AB222,S222,V222,AG222,AH222)</f>
        <v>0.19738818785432349</v>
      </c>
      <c r="AK222">
        <v>0.12307806301052465</v>
      </c>
      <c r="AL222">
        <v>0.79177606590674432</v>
      </c>
      <c r="AM222">
        <v>4.9490869475155547E-2</v>
      </c>
      <c r="AO222" s="1">
        <f t="array" ref="AO222:AR222">Niipt(T222,AB222,S222,V222,X222,Y222)</f>
        <v>0.20145856329675424</v>
      </c>
      <c r="AP222" s="1">
        <v>9.7965433939372459E-2</v>
      </c>
      <c r="AQ222" s="1">
        <v>0.68845423709962217</v>
      </c>
      <c r="AR222" s="1">
        <v>5.5178533002272732E-2</v>
      </c>
      <c r="AT222" s="1">
        <f t="shared" si="13"/>
        <v>-2.0621170327754195</v>
      </c>
      <c r="AU222" s="1">
        <f t="shared" si="14"/>
        <v>20.403822140916176</v>
      </c>
      <c r="AV222" s="1">
        <f t="shared" si="15"/>
        <v>13.049375101885365</v>
      </c>
      <c r="AW222" s="1">
        <f t="shared" si="16"/>
        <v>-11.492349169521859</v>
      </c>
    </row>
    <row r="223" spans="1:49" x14ac:dyDescent="0.25">
      <c r="A223" t="s">
        <v>31</v>
      </c>
      <c r="B223" t="s">
        <v>31</v>
      </c>
      <c r="C223">
        <v>60533008</v>
      </c>
      <c r="D223" t="s">
        <v>255</v>
      </c>
      <c r="E223">
        <v>60533008</v>
      </c>
      <c r="F223" t="s">
        <v>34</v>
      </c>
      <c r="G223">
        <v>0</v>
      </c>
      <c r="H223">
        <v>1</v>
      </c>
      <c r="I223">
        <v>60533008</v>
      </c>
      <c r="J223">
        <v>0</v>
      </c>
      <c r="K223">
        <v>0</v>
      </c>
      <c r="L223">
        <v>321.58</v>
      </c>
      <c r="M223">
        <v>18.3152135155139</v>
      </c>
      <c r="N223">
        <v>333</v>
      </c>
      <c r="O223">
        <v>15.75</v>
      </c>
      <c r="P223">
        <v>0.9</v>
      </c>
      <c r="Q223">
        <v>1</v>
      </c>
      <c r="R223">
        <v>10.63</v>
      </c>
      <c r="S223">
        <v>0.23465371621621597</v>
      </c>
      <c r="T223">
        <v>0.73748310810810791</v>
      </c>
      <c r="U223">
        <v>0.47601182432432393</v>
      </c>
      <c r="V223">
        <v>0.16090540540540499</v>
      </c>
      <c r="W223">
        <v>0.167609797297297</v>
      </c>
      <c r="X223">
        <v>10.5</v>
      </c>
      <c r="Y223">
        <v>0.32</v>
      </c>
      <c r="Z223">
        <v>0.24</v>
      </c>
      <c r="AA223">
        <v>0</v>
      </c>
      <c r="AB223">
        <v>0.10727027027026999</v>
      </c>
      <c r="AC223">
        <v>0</v>
      </c>
      <c r="AD223">
        <v>0</v>
      </c>
      <c r="AE223">
        <v>0</v>
      </c>
      <c r="AG223">
        <f t="array" ref="AG223:AH223">T1T2(T223,S223,V223,X223,Y223)</f>
        <v>3.26856645766662</v>
      </c>
      <c r="AH223">
        <v>0.22428514720005099</v>
      </c>
      <c r="AJ223">
        <f t="array" ref="AJ223:AM223">Canay(T223,AB223,S223,V223,AG223,AH223)</f>
        <v>8.2857337009579868E-2</v>
      </c>
      <c r="AK223">
        <v>0.17484248880978467</v>
      </c>
      <c r="AL223">
        <v>0.65082888125457883</v>
      </c>
      <c r="AM223">
        <v>8.8196676319306971E-2</v>
      </c>
      <c r="AO223" s="1">
        <f t="array" ref="AO223:AR223">Niipt(T223,AB223,S223,V223,X223,Y223)</f>
        <v>8.1601231223954115E-2</v>
      </c>
      <c r="AP223" s="1">
        <v>0.15965391891891897</v>
      </c>
      <c r="AQ223" s="1">
        <v>0.63385767888026923</v>
      </c>
      <c r="AR223" s="1">
        <v>9.2642506142505701E-2</v>
      </c>
      <c r="AT223" s="1">
        <f t="shared" si="13"/>
        <v>1.5159861889847157</v>
      </c>
      <c r="AU223" s="1">
        <f t="shared" si="14"/>
        <v>8.6870016517493678</v>
      </c>
      <c r="AV223" s="1">
        <f t="shared" si="15"/>
        <v>2.6076289579520258</v>
      </c>
      <c r="AW223" s="1">
        <f t="shared" si="16"/>
        <v>-5.0408133375718842</v>
      </c>
    </row>
    <row r="224" spans="1:49" x14ac:dyDescent="0.25">
      <c r="A224" t="s">
        <v>31</v>
      </c>
      <c r="B224" t="s">
        <v>31</v>
      </c>
      <c r="C224">
        <v>60533009</v>
      </c>
      <c r="D224" t="s">
        <v>256</v>
      </c>
      <c r="E224">
        <v>60533009</v>
      </c>
      <c r="F224" t="s">
        <v>34</v>
      </c>
      <c r="G224">
        <v>0</v>
      </c>
      <c r="H224">
        <v>1</v>
      </c>
      <c r="I224">
        <v>60533009</v>
      </c>
      <c r="J224">
        <v>0</v>
      </c>
      <c r="K224">
        <v>0</v>
      </c>
      <c r="L224">
        <v>322.14999999999998</v>
      </c>
      <c r="M224">
        <v>18.573505849535998</v>
      </c>
      <c r="N224">
        <v>333</v>
      </c>
      <c r="O224">
        <v>15.75</v>
      </c>
      <c r="P224">
        <v>0.9</v>
      </c>
      <c r="Q224">
        <v>1</v>
      </c>
      <c r="R224">
        <v>10.63</v>
      </c>
      <c r="S224">
        <v>0.23465371621621597</v>
      </c>
      <c r="T224">
        <v>0.73748310810810791</v>
      </c>
      <c r="U224">
        <v>0.47601182432432393</v>
      </c>
      <c r="V224">
        <v>0.16090540540540499</v>
      </c>
      <c r="W224">
        <v>0.167609797297297</v>
      </c>
      <c r="X224">
        <v>10.5</v>
      </c>
      <c r="Y224">
        <v>0.32</v>
      </c>
      <c r="Z224">
        <v>0.24</v>
      </c>
      <c r="AA224">
        <v>0</v>
      </c>
      <c r="AB224">
        <v>0.10727027027026999</v>
      </c>
      <c r="AC224">
        <v>0</v>
      </c>
      <c r="AD224">
        <v>0</v>
      </c>
      <c r="AE224">
        <v>0</v>
      </c>
      <c r="AG224">
        <f t="array" ref="AG224:AH224">T1T2(T224,S224,V224,X224,Y224)</f>
        <v>3.26856645766662</v>
      </c>
      <c r="AH224">
        <v>0.22428514720005099</v>
      </c>
      <c r="AJ224">
        <f t="array" ref="AJ224:AM224">Canay(T224,AB224,S224,V224,AG224,AH224)</f>
        <v>8.2857337009579868E-2</v>
      </c>
      <c r="AK224">
        <v>0.17484248880978467</v>
      </c>
      <c r="AL224">
        <v>0.65082888125457883</v>
      </c>
      <c r="AM224">
        <v>8.8196676319306971E-2</v>
      </c>
      <c r="AO224" s="1">
        <f t="array" ref="AO224:AR224">Niipt(T224,AB224,S224,V224,X224,Y224)</f>
        <v>8.1601231223954115E-2</v>
      </c>
      <c r="AP224" s="1">
        <v>0.15965391891891897</v>
      </c>
      <c r="AQ224" s="1">
        <v>0.63385767888026923</v>
      </c>
      <c r="AR224" s="1">
        <v>9.2642506142505701E-2</v>
      </c>
      <c r="AT224" s="1">
        <f t="shared" si="13"/>
        <v>1.5159861889847157</v>
      </c>
      <c r="AU224" s="1">
        <f t="shared" si="14"/>
        <v>8.6870016517493678</v>
      </c>
      <c r="AV224" s="1">
        <f t="shared" si="15"/>
        <v>2.6076289579520258</v>
      </c>
      <c r="AW224" s="1">
        <f t="shared" si="16"/>
        <v>-5.0408133375718842</v>
      </c>
    </row>
    <row r="225" spans="1:49" x14ac:dyDescent="0.25">
      <c r="A225" t="s">
        <v>31</v>
      </c>
      <c r="B225" t="s">
        <v>32</v>
      </c>
      <c r="C225">
        <v>60533044</v>
      </c>
      <c r="D225" t="s">
        <v>257</v>
      </c>
      <c r="E225">
        <v>60533044</v>
      </c>
      <c r="F225" t="s">
        <v>34</v>
      </c>
      <c r="G225">
        <v>0</v>
      </c>
      <c r="H225">
        <v>1</v>
      </c>
      <c r="I225">
        <v>60533044</v>
      </c>
      <c r="J225">
        <v>0</v>
      </c>
      <c r="K225">
        <v>0</v>
      </c>
      <c r="L225">
        <v>0</v>
      </c>
      <c r="M225">
        <v>0</v>
      </c>
      <c r="N225">
        <v>333</v>
      </c>
      <c r="O225">
        <v>15.75</v>
      </c>
      <c r="P225">
        <v>0.9</v>
      </c>
      <c r="Q225">
        <v>1</v>
      </c>
      <c r="R225">
        <v>10.63</v>
      </c>
      <c r="S225">
        <v>0.23465371621621597</v>
      </c>
      <c r="T225">
        <v>0.73748310810810791</v>
      </c>
      <c r="U225">
        <v>0.47601182432432393</v>
      </c>
      <c r="V225">
        <v>0.16090540540540499</v>
      </c>
      <c r="W225">
        <v>0.167609797297297</v>
      </c>
      <c r="X225">
        <v>10.5</v>
      </c>
      <c r="Y225">
        <v>0.32</v>
      </c>
      <c r="Z225">
        <v>0.24</v>
      </c>
      <c r="AA225">
        <v>0</v>
      </c>
      <c r="AB225">
        <v>0.10727027027026999</v>
      </c>
      <c r="AC225">
        <v>0</v>
      </c>
      <c r="AD225">
        <v>0</v>
      </c>
      <c r="AE225">
        <v>0</v>
      </c>
      <c r="AG225">
        <f t="array" ref="AG225:AH225">T1T2(T225,S225,V225,X225,Y225)</f>
        <v>3.26856645766662</v>
      </c>
      <c r="AH225">
        <v>0.22428514720005099</v>
      </c>
      <c r="AJ225">
        <f t="array" ref="AJ225:AM225">Canay(T225,AB225,S225,V225,AG225,AH225)</f>
        <v>8.2857337009579868E-2</v>
      </c>
      <c r="AK225">
        <v>0.17484248880978467</v>
      </c>
      <c r="AL225">
        <v>0.65082888125457883</v>
      </c>
      <c r="AM225">
        <v>8.8196676319306971E-2</v>
      </c>
      <c r="AO225" s="1">
        <f t="array" ref="AO225:AR225">Niipt(T225,AB225,S225,V225,X225,Y225)</f>
        <v>8.1601231223954115E-2</v>
      </c>
      <c r="AP225" s="1">
        <v>0.15965391891891897</v>
      </c>
      <c r="AQ225" s="1">
        <v>0.63385767888026923</v>
      </c>
      <c r="AR225" s="1">
        <v>9.2642506142505701E-2</v>
      </c>
      <c r="AT225" s="1">
        <f t="shared" si="13"/>
        <v>1.5159861889847157</v>
      </c>
      <c r="AU225" s="1">
        <f t="shared" si="14"/>
        <v>8.6870016517493678</v>
      </c>
      <c r="AV225" s="1">
        <f t="shared" si="15"/>
        <v>2.6076289579520258</v>
      </c>
      <c r="AW225" s="1">
        <f t="shared" si="16"/>
        <v>-5.0408133375718842</v>
      </c>
    </row>
    <row r="226" spans="1:49" x14ac:dyDescent="0.25">
      <c r="A226" t="s">
        <v>31</v>
      </c>
      <c r="B226" t="s">
        <v>31</v>
      </c>
      <c r="C226">
        <v>60533011</v>
      </c>
      <c r="D226" t="s">
        <v>258</v>
      </c>
      <c r="E226">
        <v>60533011</v>
      </c>
      <c r="F226" t="s">
        <v>34</v>
      </c>
      <c r="G226">
        <v>0</v>
      </c>
      <c r="H226">
        <v>1</v>
      </c>
      <c r="I226">
        <v>60533011</v>
      </c>
      <c r="J226">
        <v>0</v>
      </c>
      <c r="K226">
        <v>0</v>
      </c>
      <c r="L226">
        <v>321.58</v>
      </c>
      <c r="M226">
        <v>18.625104854951996</v>
      </c>
      <c r="N226">
        <v>333</v>
      </c>
      <c r="O226">
        <v>15.75</v>
      </c>
      <c r="P226">
        <v>0.9</v>
      </c>
      <c r="Q226">
        <v>1</v>
      </c>
      <c r="R226">
        <v>10.63</v>
      </c>
      <c r="S226">
        <v>0.23465371621621597</v>
      </c>
      <c r="T226">
        <v>0.73748310810810791</v>
      </c>
      <c r="U226">
        <v>0.47601182432432393</v>
      </c>
      <c r="V226">
        <v>0.16090540540540499</v>
      </c>
      <c r="W226">
        <v>0.167609797297297</v>
      </c>
      <c r="X226">
        <v>10.5</v>
      </c>
      <c r="Y226">
        <v>0.32</v>
      </c>
      <c r="Z226">
        <v>0.24</v>
      </c>
      <c r="AA226">
        <v>0</v>
      </c>
      <c r="AB226">
        <v>0.10727027027026999</v>
      </c>
      <c r="AC226">
        <v>0</v>
      </c>
      <c r="AD226">
        <v>0</v>
      </c>
      <c r="AE226">
        <v>0</v>
      </c>
      <c r="AG226">
        <f t="array" ref="AG226:AH226">T1T2(T226,S226,V226,X226,Y226)</f>
        <v>3.26856645766662</v>
      </c>
      <c r="AH226">
        <v>0.22428514720005099</v>
      </c>
      <c r="AJ226">
        <f t="array" ref="AJ226:AM226">Canay(T226,AB226,S226,V226,AG226,AH226)</f>
        <v>8.2857337009579868E-2</v>
      </c>
      <c r="AK226">
        <v>0.17484248880978467</v>
      </c>
      <c r="AL226">
        <v>0.65082888125457883</v>
      </c>
      <c r="AM226">
        <v>8.8196676319306971E-2</v>
      </c>
      <c r="AO226" s="1">
        <f t="array" ref="AO226:AR226">Niipt(T226,AB226,S226,V226,X226,Y226)</f>
        <v>8.1601231223954115E-2</v>
      </c>
      <c r="AP226" s="1">
        <v>0.15965391891891897</v>
      </c>
      <c r="AQ226" s="1">
        <v>0.63385767888026923</v>
      </c>
      <c r="AR226" s="1">
        <v>9.2642506142505701E-2</v>
      </c>
      <c r="AT226" s="1">
        <f t="shared" si="13"/>
        <v>1.5159861889847157</v>
      </c>
      <c r="AU226" s="1">
        <f t="shared" si="14"/>
        <v>8.6870016517493678</v>
      </c>
      <c r="AV226" s="1">
        <f t="shared" si="15"/>
        <v>2.6076289579520258</v>
      </c>
      <c r="AW226" s="1">
        <f t="shared" si="16"/>
        <v>-5.0408133375718842</v>
      </c>
    </row>
    <row r="227" spans="1:49" x14ac:dyDescent="0.25">
      <c r="A227" t="s">
        <v>31</v>
      </c>
      <c r="B227" t="s">
        <v>31</v>
      </c>
      <c r="C227">
        <v>60533012</v>
      </c>
      <c r="D227" t="s">
        <v>259</v>
      </c>
      <c r="E227">
        <v>60533012</v>
      </c>
      <c r="F227" t="s">
        <v>34</v>
      </c>
      <c r="G227">
        <v>0</v>
      </c>
      <c r="H227">
        <v>1</v>
      </c>
      <c r="I227">
        <v>60533012</v>
      </c>
      <c r="J227">
        <v>0</v>
      </c>
      <c r="K227">
        <v>0</v>
      </c>
      <c r="L227">
        <v>321.20999999999998</v>
      </c>
      <c r="M227">
        <v>18.645091195676198</v>
      </c>
      <c r="N227">
        <v>333</v>
      </c>
      <c r="O227">
        <v>15.75</v>
      </c>
      <c r="P227">
        <v>0.9</v>
      </c>
      <c r="Q227">
        <v>1</v>
      </c>
      <c r="R227">
        <v>10.63</v>
      </c>
      <c r="S227">
        <v>0.23465371621621597</v>
      </c>
      <c r="T227">
        <v>0.73748310810810791</v>
      </c>
      <c r="U227">
        <v>0.47601182432432393</v>
      </c>
      <c r="V227">
        <v>0.16090540540540499</v>
      </c>
      <c r="W227">
        <v>0.167609797297297</v>
      </c>
      <c r="X227">
        <v>10.5</v>
      </c>
      <c r="Y227">
        <v>0.32</v>
      </c>
      <c r="Z227">
        <v>0.24</v>
      </c>
      <c r="AA227">
        <v>0</v>
      </c>
      <c r="AB227">
        <v>0.10727027027026999</v>
      </c>
      <c r="AC227">
        <v>0</v>
      </c>
      <c r="AD227">
        <v>0</v>
      </c>
      <c r="AE227">
        <v>0</v>
      </c>
      <c r="AG227">
        <f t="array" ref="AG227:AH227">T1T2(T227,S227,V227,X227,Y227)</f>
        <v>3.26856645766662</v>
      </c>
      <c r="AH227">
        <v>0.22428514720005099</v>
      </c>
      <c r="AJ227">
        <f t="array" ref="AJ227:AM227">Canay(T227,AB227,S227,V227,AG227,AH227)</f>
        <v>8.2857337009579868E-2</v>
      </c>
      <c r="AK227">
        <v>0.17484248880978467</v>
      </c>
      <c r="AL227">
        <v>0.65082888125457883</v>
      </c>
      <c r="AM227">
        <v>8.8196676319306971E-2</v>
      </c>
      <c r="AO227" s="1">
        <f t="array" ref="AO227:AR227">Niipt(T227,AB227,S227,V227,X227,Y227)</f>
        <v>8.1601231223954115E-2</v>
      </c>
      <c r="AP227" s="1">
        <v>0.15965391891891897</v>
      </c>
      <c r="AQ227" s="1">
        <v>0.63385767888026923</v>
      </c>
      <c r="AR227" s="1">
        <v>9.2642506142505701E-2</v>
      </c>
      <c r="AT227" s="1">
        <f t="shared" si="13"/>
        <v>1.5159861889847157</v>
      </c>
      <c r="AU227" s="1">
        <f t="shared" si="14"/>
        <v>8.6870016517493678</v>
      </c>
      <c r="AV227" s="1">
        <f t="shared" si="15"/>
        <v>2.6076289579520258</v>
      </c>
      <c r="AW227" s="1">
        <f t="shared" si="16"/>
        <v>-5.0408133375718842</v>
      </c>
    </row>
    <row r="228" spans="1:49" x14ac:dyDescent="0.25">
      <c r="A228" t="s">
        <v>31</v>
      </c>
      <c r="B228" t="s">
        <v>31</v>
      </c>
      <c r="C228">
        <v>60533013</v>
      </c>
      <c r="D228" t="s">
        <v>260</v>
      </c>
      <c r="E228">
        <v>60533013</v>
      </c>
      <c r="F228" t="s">
        <v>34</v>
      </c>
      <c r="G228">
        <v>0</v>
      </c>
      <c r="H228">
        <v>1</v>
      </c>
      <c r="I228">
        <v>60533013</v>
      </c>
      <c r="J228">
        <v>0</v>
      </c>
      <c r="K228">
        <v>0</v>
      </c>
      <c r="L228">
        <v>321.58</v>
      </c>
      <c r="M228">
        <v>18.601572858864696</v>
      </c>
      <c r="N228">
        <v>333</v>
      </c>
      <c r="O228">
        <v>15.75</v>
      </c>
      <c r="P228">
        <v>0.9</v>
      </c>
      <c r="Q228">
        <v>1</v>
      </c>
      <c r="R228">
        <v>10.63</v>
      </c>
      <c r="S228">
        <v>0.23465371621621597</v>
      </c>
      <c r="T228">
        <v>0.73748310810810791</v>
      </c>
      <c r="U228">
        <v>0.47601182432432393</v>
      </c>
      <c r="V228">
        <v>0.16090540540540499</v>
      </c>
      <c r="W228">
        <v>0.167609797297297</v>
      </c>
      <c r="X228">
        <v>10.5</v>
      </c>
      <c r="Y228">
        <v>0.32</v>
      </c>
      <c r="Z228">
        <v>0.24</v>
      </c>
      <c r="AA228">
        <v>0</v>
      </c>
      <c r="AB228">
        <v>0.10727027027026999</v>
      </c>
      <c r="AC228">
        <v>0</v>
      </c>
      <c r="AD228">
        <v>0</v>
      </c>
      <c r="AE228">
        <v>0</v>
      </c>
      <c r="AG228">
        <f t="array" ref="AG228:AH228">T1T2(T228,S228,V228,X228,Y228)</f>
        <v>3.26856645766662</v>
      </c>
      <c r="AH228">
        <v>0.22428514720005099</v>
      </c>
      <c r="AJ228">
        <f t="array" ref="AJ228:AM228">Canay(T228,AB228,S228,V228,AG228,AH228)</f>
        <v>8.2857337009579868E-2</v>
      </c>
      <c r="AK228">
        <v>0.17484248880978467</v>
      </c>
      <c r="AL228">
        <v>0.65082888125457883</v>
      </c>
      <c r="AM228">
        <v>8.8196676319306971E-2</v>
      </c>
      <c r="AO228" s="1">
        <f t="array" ref="AO228:AR228">Niipt(T228,AB228,S228,V228,X228,Y228)</f>
        <v>8.1601231223954115E-2</v>
      </c>
      <c r="AP228" s="1">
        <v>0.15965391891891897</v>
      </c>
      <c r="AQ228" s="1">
        <v>0.63385767888026923</v>
      </c>
      <c r="AR228" s="1">
        <v>9.2642506142505701E-2</v>
      </c>
      <c r="AT228" s="1">
        <f t="shared" si="13"/>
        <v>1.5159861889847157</v>
      </c>
      <c r="AU228" s="1">
        <f t="shared" si="14"/>
        <v>8.6870016517493678</v>
      </c>
      <c r="AV228" s="1">
        <f t="shared" si="15"/>
        <v>2.6076289579520258</v>
      </c>
      <c r="AW228" s="1">
        <f t="shared" si="16"/>
        <v>-5.0408133375718842</v>
      </c>
    </row>
    <row r="229" spans="1:49" x14ac:dyDescent="0.25">
      <c r="A229" t="s">
        <v>31</v>
      </c>
      <c r="B229" t="s">
        <v>31</v>
      </c>
      <c r="C229">
        <v>60533014</v>
      </c>
      <c r="D229" t="s">
        <v>261</v>
      </c>
      <c r="E229">
        <v>60533014</v>
      </c>
      <c r="F229" t="s">
        <v>34</v>
      </c>
      <c r="G229">
        <v>0</v>
      </c>
      <c r="H229">
        <v>1</v>
      </c>
      <c r="I229">
        <v>60533014</v>
      </c>
      <c r="J229">
        <v>0</v>
      </c>
      <c r="K229">
        <v>0</v>
      </c>
      <c r="L229">
        <v>288.64999999999998</v>
      </c>
      <c r="M229">
        <v>13.910749770871298</v>
      </c>
      <c r="N229">
        <v>333</v>
      </c>
      <c r="O229">
        <v>15.75</v>
      </c>
      <c r="P229">
        <v>0.9</v>
      </c>
      <c r="Q229">
        <v>1</v>
      </c>
      <c r="R229">
        <v>10.63</v>
      </c>
      <c r="S229">
        <v>0.23465371621621597</v>
      </c>
      <c r="T229">
        <v>0.73748310810810791</v>
      </c>
      <c r="U229">
        <v>0.47601182432432393</v>
      </c>
      <c r="V229">
        <v>0.16090540540540499</v>
      </c>
      <c r="W229">
        <v>0.167609797297297</v>
      </c>
      <c r="X229">
        <v>10.5</v>
      </c>
      <c r="Y229">
        <v>0.32</v>
      </c>
      <c r="Z229">
        <v>0.24</v>
      </c>
      <c r="AA229">
        <v>0</v>
      </c>
      <c r="AB229">
        <v>0.10727027027026999</v>
      </c>
      <c r="AC229">
        <v>0</v>
      </c>
      <c r="AD229">
        <v>0</v>
      </c>
      <c r="AE229">
        <v>0</v>
      </c>
      <c r="AG229">
        <f t="array" ref="AG229:AH229">T1T2(T229,S229,V229,X229,Y229)</f>
        <v>3.26856645766662</v>
      </c>
      <c r="AH229">
        <v>0.22428514720005099</v>
      </c>
      <c r="AJ229">
        <f t="array" ref="AJ229:AM229">Canay(T229,AB229,S229,V229,AG229,AH229)</f>
        <v>8.2857337009579868E-2</v>
      </c>
      <c r="AK229">
        <v>0.17484248880978467</v>
      </c>
      <c r="AL229">
        <v>0.65082888125457883</v>
      </c>
      <c r="AM229">
        <v>8.8196676319306971E-2</v>
      </c>
      <c r="AO229" s="1">
        <f t="array" ref="AO229:AR229">Niipt(T229,AB229,S229,V229,X229,Y229)</f>
        <v>8.1601231223954115E-2</v>
      </c>
      <c r="AP229" s="1">
        <v>0.15965391891891897</v>
      </c>
      <c r="AQ229" s="1">
        <v>0.63385767888026923</v>
      </c>
      <c r="AR229" s="1">
        <v>9.2642506142505701E-2</v>
      </c>
      <c r="AT229" s="1">
        <f t="shared" si="13"/>
        <v>1.5159861889847157</v>
      </c>
      <c r="AU229" s="1">
        <f t="shared" si="14"/>
        <v>8.6870016517493678</v>
      </c>
      <c r="AV229" s="1">
        <f t="shared" si="15"/>
        <v>2.6076289579520258</v>
      </c>
      <c r="AW229" s="1">
        <f t="shared" si="16"/>
        <v>-5.0408133375718842</v>
      </c>
    </row>
    <row r="230" spans="1:49" x14ac:dyDescent="0.25">
      <c r="A230" t="s">
        <v>31</v>
      </c>
      <c r="B230" t="s">
        <v>32</v>
      </c>
      <c r="C230">
        <v>60533002</v>
      </c>
      <c r="D230" t="s">
        <v>262</v>
      </c>
      <c r="E230">
        <v>60533002</v>
      </c>
      <c r="F230" t="s">
        <v>34</v>
      </c>
      <c r="G230">
        <v>0</v>
      </c>
      <c r="H230">
        <v>1</v>
      </c>
      <c r="I230">
        <v>60533002</v>
      </c>
      <c r="J230">
        <v>0</v>
      </c>
      <c r="K230">
        <v>0</v>
      </c>
      <c r="L230">
        <v>0</v>
      </c>
      <c r="M230">
        <v>0</v>
      </c>
      <c r="N230">
        <v>333</v>
      </c>
      <c r="O230">
        <v>15.75</v>
      </c>
      <c r="P230">
        <v>0.9</v>
      </c>
      <c r="Q230">
        <v>1</v>
      </c>
      <c r="R230">
        <v>10.63</v>
      </c>
      <c r="S230">
        <v>0.23465371621621597</v>
      </c>
      <c r="T230">
        <v>0.73748310810810791</v>
      </c>
      <c r="U230">
        <v>0.47601182432432393</v>
      </c>
      <c r="V230">
        <v>0.16090540540540499</v>
      </c>
      <c r="W230">
        <v>0.167609797297297</v>
      </c>
      <c r="X230">
        <v>10.5</v>
      </c>
      <c r="Y230">
        <v>0.32</v>
      </c>
      <c r="Z230">
        <v>0.24</v>
      </c>
      <c r="AA230">
        <v>0</v>
      </c>
      <c r="AB230">
        <v>0.10727027027026999</v>
      </c>
      <c r="AC230">
        <v>0</v>
      </c>
      <c r="AD230">
        <v>0</v>
      </c>
      <c r="AE230">
        <v>0</v>
      </c>
      <c r="AG230">
        <f t="array" ref="AG230:AH230">T1T2(T230,S230,V230,X230,Y230)</f>
        <v>3.26856645766662</v>
      </c>
      <c r="AH230">
        <v>0.22428514720005099</v>
      </c>
      <c r="AJ230">
        <f t="array" ref="AJ230:AM230">Canay(T230,AB230,S230,V230,AG230,AH230)</f>
        <v>8.2857337009579868E-2</v>
      </c>
      <c r="AK230">
        <v>0.17484248880978467</v>
      </c>
      <c r="AL230">
        <v>0.65082888125457883</v>
      </c>
      <c r="AM230">
        <v>8.8196676319306971E-2</v>
      </c>
      <c r="AO230" s="1">
        <f t="array" ref="AO230:AR230">Niipt(T230,AB230,S230,V230,X230,Y230)</f>
        <v>8.1601231223954115E-2</v>
      </c>
      <c r="AP230" s="1">
        <v>0.15965391891891897</v>
      </c>
      <c r="AQ230" s="1">
        <v>0.63385767888026923</v>
      </c>
      <c r="AR230" s="1">
        <v>9.2642506142505701E-2</v>
      </c>
      <c r="AT230" s="1">
        <f t="shared" si="13"/>
        <v>1.5159861889847157</v>
      </c>
      <c r="AU230" s="1">
        <f t="shared" si="14"/>
        <v>8.6870016517493678</v>
      </c>
      <c r="AV230" s="1">
        <f t="shared" si="15"/>
        <v>2.6076289579520258</v>
      </c>
      <c r="AW230" s="1">
        <f t="shared" si="16"/>
        <v>-5.0408133375718842</v>
      </c>
    </row>
    <row r="231" spans="1:49" x14ac:dyDescent="0.25">
      <c r="A231" t="s">
        <v>31</v>
      </c>
      <c r="B231" t="s">
        <v>32</v>
      </c>
      <c r="C231">
        <v>60533003</v>
      </c>
      <c r="D231" t="s">
        <v>263</v>
      </c>
      <c r="E231">
        <v>60533003</v>
      </c>
      <c r="F231" t="s">
        <v>34</v>
      </c>
      <c r="G231">
        <v>0</v>
      </c>
      <c r="H231">
        <v>1</v>
      </c>
      <c r="I231">
        <v>60533003</v>
      </c>
      <c r="J231">
        <v>0</v>
      </c>
      <c r="K231">
        <v>0</v>
      </c>
      <c r="L231">
        <v>0</v>
      </c>
      <c r="M231">
        <v>0</v>
      </c>
      <c r="N231">
        <v>333</v>
      </c>
      <c r="O231">
        <v>15.75</v>
      </c>
      <c r="P231">
        <v>0.9</v>
      </c>
      <c r="Q231">
        <v>1</v>
      </c>
      <c r="R231">
        <v>10.63</v>
      </c>
      <c r="S231">
        <v>0.23465371621621597</v>
      </c>
      <c r="T231">
        <v>0.73748310810810791</v>
      </c>
      <c r="U231">
        <v>0.47601182432432393</v>
      </c>
      <c r="V231">
        <v>0.16090540540540499</v>
      </c>
      <c r="W231">
        <v>0.167609797297297</v>
      </c>
      <c r="X231">
        <v>10.5</v>
      </c>
      <c r="Y231">
        <v>0.32</v>
      </c>
      <c r="Z231">
        <v>0.24</v>
      </c>
      <c r="AA231">
        <v>0</v>
      </c>
      <c r="AB231">
        <v>0.10727027027026999</v>
      </c>
      <c r="AC231">
        <v>0</v>
      </c>
      <c r="AD231">
        <v>0</v>
      </c>
      <c r="AE231">
        <v>0</v>
      </c>
      <c r="AG231">
        <f t="array" ref="AG231:AH231">T1T2(T231,S231,V231,X231,Y231)</f>
        <v>3.26856645766662</v>
      </c>
      <c r="AH231">
        <v>0.22428514720005099</v>
      </c>
      <c r="AJ231">
        <f t="array" ref="AJ231:AM231">Canay(T231,AB231,S231,V231,AG231,AH231)</f>
        <v>8.2857337009579868E-2</v>
      </c>
      <c r="AK231">
        <v>0.17484248880978467</v>
      </c>
      <c r="AL231">
        <v>0.65082888125457883</v>
      </c>
      <c r="AM231">
        <v>8.8196676319306971E-2</v>
      </c>
      <c r="AO231" s="1">
        <f t="array" ref="AO231:AR231">Niipt(T231,AB231,S231,V231,X231,Y231)</f>
        <v>8.1601231223954115E-2</v>
      </c>
      <c r="AP231" s="1">
        <v>0.15965391891891897</v>
      </c>
      <c r="AQ231" s="1">
        <v>0.63385767888026923</v>
      </c>
      <c r="AR231" s="1">
        <v>9.2642506142505701E-2</v>
      </c>
      <c r="AT231" s="1">
        <f t="shared" si="13"/>
        <v>1.5159861889847157</v>
      </c>
      <c r="AU231" s="1">
        <f t="shared" si="14"/>
        <v>8.6870016517493678</v>
      </c>
      <c r="AV231" s="1">
        <f t="shared" si="15"/>
        <v>2.6076289579520258</v>
      </c>
      <c r="AW231" s="1">
        <f t="shared" si="16"/>
        <v>-5.0408133375718842</v>
      </c>
    </row>
    <row r="232" spans="1:49" x14ac:dyDescent="0.25">
      <c r="A232" t="s">
        <v>31</v>
      </c>
      <c r="B232" t="s">
        <v>31</v>
      </c>
      <c r="C232">
        <v>60512068</v>
      </c>
      <c r="D232" t="s">
        <v>264</v>
      </c>
      <c r="E232">
        <v>60512068</v>
      </c>
      <c r="F232" t="s">
        <v>34</v>
      </c>
      <c r="G232">
        <v>0</v>
      </c>
      <c r="H232">
        <v>1</v>
      </c>
      <c r="I232">
        <v>60512068</v>
      </c>
      <c r="J232">
        <v>0</v>
      </c>
      <c r="K232">
        <v>0</v>
      </c>
      <c r="L232">
        <v>6.12</v>
      </c>
      <c r="M232">
        <v>2.4281106520355902</v>
      </c>
      <c r="N232">
        <v>6</v>
      </c>
      <c r="O232">
        <v>6.3</v>
      </c>
      <c r="P232">
        <v>0.8</v>
      </c>
      <c r="Q232">
        <v>1</v>
      </c>
      <c r="R232">
        <v>12.2067</v>
      </c>
      <c r="S232">
        <v>1.0319400000000001</v>
      </c>
      <c r="T232">
        <v>10.213559999999998</v>
      </c>
      <c r="U232">
        <v>10.213559999999998</v>
      </c>
      <c r="V232">
        <v>0.70383600000000002</v>
      </c>
      <c r="W232">
        <v>0.70383600000000002</v>
      </c>
      <c r="X232">
        <v>7.45</v>
      </c>
      <c r="Y232">
        <v>6.9911000000000001E-2</v>
      </c>
      <c r="Z232">
        <v>0.38500000000000001</v>
      </c>
      <c r="AA232">
        <v>0</v>
      </c>
      <c r="AB232">
        <v>0.53241224399999998</v>
      </c>
      <c r="AC232">
        <v>0</v>
      </c>
      <c r="AD232">
        <v>0</v>
      </c>
      <c r="AE232">
        <v>0</v>
      </c>
      <c r="AG232">
        <f t="array" ref="AG232:AH232">T1T2(T232,S232,V232,X232,Y232)</f>
        <v>0.73197128212832885</v>
      </c>
      <c r="AH232">
        <v>4.9034536731886028E-2</v>
      </c>
      <c r="AJ232">
        <f t="array" ref="AJ232:AM232">Canay(T232,AB232,S232,V232,AG232,AH232)</f>
        <v>1.5699413159486182</v>
      </c>
      <c r="AK232">
        <v>0.60684928737286314</v>
      </c>
      <c r="AL232">
        <v>10.266950147897035</v>
      </c>
      <c r="AM232">
        <v>0.24495706564608274</v>
      </c>
      <c r="AO232" s="1">
        <f t="array" ref="AO232:AR232">Niipt(T232,AB232,S232,V232,X232,Y232)</f>
        <v>1.5784378066384399</v>
      </c>
      <c r="AP232" s="1">
        <v>0.52670465713666181</v>
      </c>
      <c r="AQ232" s="1">
        <v>9.4430620814843707</v>
      </c>
      <c r="AR232" s="1">
        <v>0.26098713871141938</v>
      </c>
      <c r="AT232" s="1">
        <f t="shared" si="13"/>
        <v>-0.54119798004601338</v>
      </c>
      <c r="AU232" s="1">
        <f t="shared" si="14"/>
        <v>13.206677819983744</v>
      </c>
      <c r="AV232" s="1">
        <f t="shared" si="15"/>
        <v>8.0246621883268787</v>
      </c>
      <c r="AW232" s="1">
        <f t="shared" si="16"/>
        <v>-6.5440337567143683</v>
      </c>
    </row>
    <row r="233" spans="1:49" x14ac:dyDescent="0.25">
      <c r="A233" t="s">
        <v>31</v>
      </c>
      <c r="B233" t="s">
        <v>31</v>
      </c>
      <c r="C233">
        <v>60512069</v>
      </c>
      <c r="D233" t="s">
        <v>265</v>
      </c>
      <c r="E233">
        <v>60512069</v>
      </c>
      <c r="F233" t="s">
        <v>34</v>
      </c>
      <c r="G233">
        <v>0</v>
      </c>
      <c r="H233">
        <v>1</v>
      </c>
      <c r="I233">
        <v>60512069</v>
      </c>
      <c r="J233">
        <v>0</v>
      </c>
      <c r="K233">
        <v>0</v>
      </c>
      <c r="L233">
        <v>11.99</v>
      </c>
      <c r="M233">
        <v>2.6455552646013496</v>
      </c>
      <c r="N233">
        <v>12</v>
      </c>
      <c r="O233">
        <v>6.3</v>
      </c>
      <c r="P233">
        <v>0.8</v>
      </c>
      <c r="Q233">
        <v>1</v>
      </c>
      <c r="R233">
        <v>3.7</v>
      </c>
      <c r="S233">
        <v>0.48951</v>
      </c>
      <c r="T233">
        <v>6.3689219999999995</v>
      </c>
      <c r="U233">
        <v>6.3689219999999995</v>
      </c>
      <c r="V233">
        <v>0.35985600000000001</v>
      </c>
      <c r="W233">
        <v>5.3978399999999995</v>
      </c>
      <c r="X233">
        <v>7.9</v>
      </c>
      <c r="Y233">
        <v>5.4411999999999995E-2</v>
      </c>
      <c r="Z233">
        <v>0.56200000000000006</v>
      </c>
      <c r="AA233">
        <v>0</v>
      </c>
      <c r="AB233">
        <v>0.270762534</v>
      </c>
      <c r="AC233">
        <v>0</v>
      </c>
      <c r="AD233">
        <v>0</v>
      </c>
      <c r="AE233">
        <v>0</v>
      </c>
      <c r="AG233">
        <f t="array" ref="AG233:AH233">T1T2(T233,S233,V233,X233,Y233)</f>
        <v>0.5934793320149625</v>
      </c>
      <c r="AH233">
        <v>4.0924087029884468E-2</v>
      </c>
      <c r="AJ233">
        <f t="array" ref="AJ233:AM233">Canay(T233,AB233,S233,V233,AG233,AH233)</f>
        <v>0.91299612235678462</v>
      </c>
      <c r="AK233">
        <v>0.26253182612084275</v>
      </c>
      <c r="AL233">
        <v>6.3145000317673716</v>
      </c>
      <c r="AM233">
        <v>0.13790969618369878</v>
      </c>
      <c r="AO233" s="1">
        <f t="array" ref="AO233:AR233">Niipt(T233,AB233,S233,V233,X233,Y233)</f>
        <v>0.91672515046564096</v>
      </c>
      <c r="AP233" s="1">
        <v>0.22688611215737445</v>
      </c>
      <c r="AQ233" s="1">
        <v>5.9238339172145418</v>
      </c>
      <c r="AR233" s="1">
        <v>0.15031522301399999</v>
      </c>
      <c r="AT233" s="1">
        <f t="shared" si="13"/>
        <v>-0.40843854837305543</v>
      </c>
      <c r="AU233" s="1">
        <f t="shared" si="14"/>
        <v>13.577673415893077</v>
      </c>
      <c r="AV233" s="1">
        <f t="shared" si="15"/>
        <v>6.186809922993791</v>
      </c>
      <c r="AW233" s="1">
        <f t="shared" si="16"/>
        <v>-8.9953985641276297</v>
      </c>
    </row>
    <row r="234" spans="1:49" x14ac:dyDescent="0.25">
      <c r="A234" t="s">
        <v>31</v>
      </c>
      <c r="B234" t="s">
        <v>31</v>
      </c>
      <c r="C234">
        <v>60512070</v>
      </c>
      <c r="D234" t="s">
        <v>266</v>
      </c>
      <c r="E234">
        <v>60512070</v>
      </c>
      <c r="F234" t="s">
        <v>34</v>
      </c>
      <c r="G234">
        <v>0</v>
      </c>
      <c r="H234">
        <v>1</v>
      </c>
      <c r="I234">
        <v>60512070</v>
      </c>
      <c r="J234">
        <v>0</v>
      </c>
      <c r="K234">
        <v>0</v>
      </c>
      <c r="L234">
        <v>5.9</v>
      </c>
      <c r="M234">
        <v>2.0949820264992294</v>
      </c>
      <c r="N234">
        <v>6</v>
      </c>
      <c r="O234">
        <v>6.3</v>
      </c>
      <c r="P234">
        <v>0.8</v>
      </c>
      <c r="Q234">
        <v>1</v>
      </c>
      <c r="R234">
        <v>8.07</v>
      </c>
      <c r="S234">
        <v>1.21716</v>
      </c>
      <c r="T234">
        <v>10.0548</v>
      </c>
      <c r="U234">
        <v>10.0548</v>
      </c>
      <c r="V234">
        <v>0.72500399999999987</v>
      </c>
      <c r="W234">
        <v>0.72500399999999987</v>
      </c>
      <c r="X234">
        <v>7.45</v>
      </c>
      <c r="Y234">
        <v>0.14773700000000001</v>
      </c>
      <c r="Z234">
        <v>5.4417999999999994E-2</v>
      </c>
      <c r="AA234">
        <v>0</v>
      </c>
      <c r="AB234">
        <v>0.53241224399999998</v>
      </c>
      <c r="AC234">
        <v>0</v>
      </c>
      <c r="AD234">
        <v>0</v>
      </c>
      <c r="AE234">
        <v>0</v>
      </c>
      <c r="AG234">
        <f t="array" ref="AG234:AH234">T1T2(T234,S234,V234,X234,Y234)</f>
        <v>0.84456234662602836</v>
      </c>
      <c r="AH234">
        <v>9.3968176568103287E-2</v>
      </c>
      <c r="AJ234">
        <f t="array" ref="AJ234:AM234">Canay(T234,AB234,S234,V234,AG234,AH234)</f>
        <v>1.7596230487146789</v>
      </c>
      <c r="AK234">
        <v>0.92150879063182978</v>
      </c>
      <c r="AL234">
        <v>5.8782821931471521</v>
      </c>
      <c r="AM234">
        <v>0.24986646343531246</v>
      </c>
      <c r="AO234" s="1">
        <f t="array" ref="AO234:AR234">Niipt(T234,AB234,S234,V234,X234,Y234)</f>
        <v>1.8435503346692714</v>
      </c>
      <c r="AP234" s="1">
        <v>0.73780258617491512</v>
      </c>
      <c r="AQ234" s="1">
        <v>4.8174067931724096</v>
      </c>
      <c r="AR234" s="1">
        <v>0.26795725896890299</v>
      </c>
      <c r="AT234" s="1">
        <f t="shared" si="13"/>
        <v>-4.7696173345704596</v>
      </c>
      <c r="AU234" s="1">
        <f t="shared" si="14"/>
        <v>19.935371894928647</v>
      </c>
      <c r="AV234" s="1">
        <f t="shared" si="15"/>
        <v>18.04737107060803</v>
      </c>
      <c r="AW234" s="1">
        <f t="shared" si="16"/>
        <v>-7.240185531450491</v>
      </c>
    </row>
    <row r="235" spans="1:49" x14ac:dyDescent="0.25">
      <c r="A235" t="s">
        <v>31</v>
      </c>
      <c r="B235" t="s">
        <v>31</v>
      </c>
      <c r="C235">
        <v>60525027</v>
      </c>
      <c r="D235" t="s">
        <v>267</v>
      </c>
      <c r="E235">
        <v>60525027</v>
      </c>
      <c r="F235" t="s">
        <v>34</v>
      </c>
      <c r="G235">
        <v>0</v>
      </c>
      <c r="H235">
        <v>1</v>
      </c>
      <c r="I235">
        <v>60525027</v>
      </c>
      <c r="J235">
        <v>0</v>
      </c>
      <c r="K235">
        <v>0</v>
      </c>
      <c r="L235">
        <v>139.85</v>
      </c>
      <c r="M235">
        <v>0.96004143716713086</v>
      </c>
      <c r="N235">
        <v>150</v>
      </c>
      <c r="O235">
        <v>18</v>
      </c>
      <c r="P235">
        <v>0.9</v>
      </c>
      <c r="Q235">
        <v>1</v>
      </c>
      <c r="R235">
        <v>13.955555555555598</v>
      </c>
      <c r="S235">
        <v>0.34992000000000001</v>
      </c>
      <c r="T235">
        <v>2.8907280000000002</v>
      </c>
      <c r="U235">
        <v>2.8907280000000002</v>
      </c>
      <c r="V235">
        <v>0.23716799999999999</v>
      </c>
      <c r="W235">
        <v>0.34992000000000001</v>
      </c>
      <c r="X235">
        <v>11.9</v>
      </c>
      <c r="Y235">
        <v>0.18</v>
      </c>
      <c r="Z235">
        <v>0.5</v>
      </c>
      <c r="AA235">
        <v>0</v>
      </c>
      <c r="AB235">
        <v>3.7324799999999991E-2</v>
      </c>
      <c r="AC235">
        <v>0</v>
      </c>
      <c r="AD235">
        <v>0</v>
      </c>
      <c r="AE235">
        <v>0</v>
      </c>
      <c r="AG235">
        <f t="array" ref="AG235:AH235">T1T2(T235,S235,V235,X235,Y235)</f>
        <v>1.3866816844264296</v>
      </c>
      <c r="AH235">
        <v>0.12673353512248259</v>
      </c>
      <c r="AJ235">
        <f t="array" ref="AJ235:AM235">Canay(T235,AB235,S235,V235,AG235,AH235)</f>
        <v>0.28315393058069627</v>
      </c>
      <c r="AK235">
        <v>0.3555643909339149</v>
      </c>
      <c r="AL235">
        <v>4.5466141492523473</v>
      </c>
      <c r="AM235">
        <v>0.54317294607723743</v>
      </c>
      <c r="AO235" s="1">
        <f t="array" ref="AO235:AR235">Niipt(T235,AB235,S235,V235,X235,Y235)</f>
        <v>0.28265118416056284</v>
      </c>
      <c r="AP235" s="1">
        <v>0.35105373723029837</v>
      </c>
      <c r="AQ235" s="1">
        <v>4.586955425530153</v>
      </c>
      <c r="AR235" s="1">
        <v>0.55404804413793096</v>
      </c>
      <c r="AT235" s="1">
        <f t="shared" si="13"/>
        <v>0.17755233667510339</v>
      </c>
      <c r="AU235" s="1">
        <f t="shared" si="14"/>
        <v>1.2685898303170855</v>
      </c>
      <c r="AV235" s="1">
        <f t="shared" si="15"/>
        <v>-0.88728172115593951</v>
      </c>
      <c r="AW235" s="1">
        <f t="shared" si="16"/>
        <v>-2.0021428053869106</v>
      </c>
    </row>
    <row r="236" spans="1:49" x14ac:dyDescent="0.25">
      <c r="A236" t="s">
        <v>31</v>
      </c>
      <c r="B236" t="s">
        <v>32</v>
      </c>
      <c r="C236">
        <v>60525028</v>
      </c>
      <c r="D236" t="s">
        <v>268</v>
      </c>
      <c r="E236">
        <v>60525028</v>
      </c>
      <c r="F236" t="s">
        <v>34</v>
      </c>
      <c r="G236">
        <v>0</v>
      </c>
      <c r="H236">
        <v>1</v>
      </c>
      <c r="I236">
        <v>60525028</v>
      </c>
      <c r="J236">
        <v>0</v>
      </c>
      <c r="K236">
        <v>0</v>
      </c>
      <c r="L236">
        <v>0</v>
      </c>
      <c r="M236">
        <v>0</v>
      </c>
      <c r="N236">
        <v>150</v>
      </c>
      <c r="O236">
        <v>18</v>
      </c>
      <c r="P236">
        <v>0.9</v>
      </c>
      <c r="Q236">
        <v>1</v>
      </c>
      <c r="R236">
        <v>13.955555555555598</v>
      </c>
      <c r="S236">
        <v>0.34992000000000001</v>
      </c>
      <c r="T236">
        <v>2.8907280000000002</v>
      </c>
      <c r="U236">
        <v>2.8907280000000002</v>
      </c>
      <c r="V236">
        <v>0.23716799999999999</v>
      </c>
      <c r="W236">
        <v>0.34992000000000001</v>
      </c>
      <c r="X236">
        <v>11.9</v>
      </c>
      <c r="Y236">
        <v>0.18</v>
      </c>
      <c r="Z236">
        <v>0.5</v>
      </c>
      <c r="AA236">
        <v>0</v>
      </c>
      <c r="AB236">
        <v>3.7324799999999991E-2</v>
      </c>
      <c r="AC236">
        <v>0</v>
      </c>
      <c r="AD236">
        <v>0</v>
      </c>
      <c r="AE236">
        <v>0</v>
      </c>
      <c r="AG236">
        <f t="array" ref="AG236:AH236">T1T2(T236,S236,V236,X236,Y236)</f>
        <v>1.3866816844264296</v>
      </c>
      <c r="AH236">
        <v>0.12673353512248259</v>
      </c>
      <c r="AJ236">
        <f t="array" ref="AJ236:AM236">Canay(T236,AB236,S236,V236,AG236,AH236)</f>
        <v>0.28315393058069627</v>
      </c>
      <c r="AK236">
        <v>0.3555643909339149</v>
      </c>
      <c r="AL236">
        <v>4.5466141492523473</v>
      </c>
      <c r="AM236">
        <v>0.54317294607723743</v>
      </c>
      <c r="AO236" s="1">
        <f t="array" ref="AO236:AR236">Niipt(T236,AB236,S236,V236,X236,Y236)</f>
        <v>0.28265118416056284</v>
      </c>
      <c r="AP236" s="1">
        <v>0.35105373723029837</v>
      </c>
      <c r="AQ236" s="1">
        <v>4.586955425530153</v>
      </c>
      <c r="AR236" s="1">
        <v>0.55404804413793096</v>
      </c>
      <c r="AT236" s="1">
        <f t="shared" si="13"/>
        <v>0.17755233667510339</v>
      </c>
      <c r="AU236" s="1">
        <f t="shared" si="14"/>
        <v>1.2685898303170855</v>
      </c>
      <c r="AV236" s="1">
        <f t="shared" si="15"/>
        <v>-0.88728172115593951</v>
      </c>
      <c r="AW236" s="1">
        <f t="shared" si="16"/>
        <v>-2.0021428053869106</v>
      </c>
    </row>
    <row r="237" spans="1:49" x14ac:dyDescent="0.25">
      <c r="A237" t="s">
        <v>31</v>
      </c>
      <c r="B237" t="s">
        <v>31</v>
      </c>
      <c r="C237">
        <v>60525034</v>
      </c>
      <c r="D237" t="s">
        <v>269</v>
      </c>
      <c r="E237">
        <v>60525034</v>
      </c>
      <c r="F237" t="s">
        <v>34</v>
      </c>
      <c r="G237">
        <v>0</v>
      </c>
      <c r="H237">
        <v>1</v>
      </c>
      <c r="I237">
        <v>60525034</v>
      </c>
      <c r="J237">
        <v>0</v>
      </c>
      <c r="K237">
        <v>0</v>
      </c>
      <c r="L237">
        <v>148.63999999999999</v>
      </c>
      <c r="M237">
        <v>11.2284445457333</v>
      </c>
      <c r="N237">
        <v>150</v>
      </c>
      <c r="O237">
        <v>18</v>
      </c>
      <c r="P237">
        <v>0.9</v>
      </c>
      <c r="Q237">
        <v>1</v>
      </c>
      <c r="R237">
        <v>13.955555555555598</v>
      </c>
      <c r="S237">
        <v>0.34992000000000001</v>
      </c>
      <c r="T237">
        <v>2.8907280000000002</v>
      </c>
      <c r="U237">
        <v>2.8907280000000002</v>
      </c>
      <c r="V237">
        <v>0.23716799999999999</v>
      </c>
      <c r="W237">
        <v>0.34992000000000001</v>
      </c>
      <c r="X237">
        <v>11.9</v>
      </c>
      <c r="Y237">
        <v>0.18</v>
      </c>
      <c r="Z237">
        <v>0.5</v>
      </c>
      <c r="AA237">
        <v>0</v>
      </c>
      <c r="AB237">
        <v>3.7324799999999991E-2</v>
      </c>
      <c r="AC237">
        <v>0</v>
      </c>
      <c r="AD237">
        <v>0</v>
      </c>
      <c r="AE237">
        <v>0</v>
      </c>
      <c r="AG237">
        <f t="array" ref="AG237:AH237">T1T2(T237,S237,V237,X237,Y237)</f>
        <v>1.3866816844264296</v>
      </c>
      <c r="AH237">
        <v>0.12673353512248259</v>
      </c>
      <c r="AJ237">
        <f t="array" ref="AJ237:AM237">Canay(T237,AB237,S237,V237,AG237,AH237)</f>
        <v>0.28315393058069627</v>
      </c>
      <c r="AK237">
        <v>0.3555643909339149</v>
      </c>
      <c r="AL237">
        <v>4.5466141492523473</v>
      </c>
      <c r="AM237">
        <v>0.54317294607723743</v>
      </c>
      <c r="AO237" s="1">
        <f t="array" ref="AO237:AR237">Niipt(T237,AB237,S237,V237,X237,Y237)</f>
        <v>0.28265118416056284</v>
      </c>
      <c r="AP237" s="1">
        <v>0.35105373723029837</v>
      </c>
      <c r="AQ237" s="1">
        <v>4.586955425530153</v>
      </c>
      <c r="AR237" s="1">
        <v>0.55404804413793096</v>
      </c>
      <c r="AT237" s="1">
        <f t="shared" si="13"/>
        <v>0.17755233667510339</v>
      </c>
      <c r="AU237" s="1">
        <f t="shared" si="14"/>
        <v>1.2685898303170855</v>
      </c>
      <c r="AV237" s="1">
        <f t="shared" si="15"/>
        <v>-0.88728172115593951</v>
      </c>
      <c r="AW237" s="1">
        <f t="shared" si="16"/>
        <v>-2.0021428053869106</v>
      </c>
    </row>
    <row r="238" spans="1:49" x14ac:dyDescent="0.25">
      <c r="A238" t="s">
        <v>31</v>
      </c>
      <c r="B238" t="s">
        <v>32</v>
      </c>
      <c r="C238">
        <v>60525038</v>
      </c>
      <c r="D238" t="s">
        <v>270</v>
      </c>
      <c r="E238">
        <v>60525038</v>
      </c>
      <c r="F238" t="s">
        <v>34</v>
      </c>
      <c r="G238">
        <v>0</v>
      </c>
      <c r="H238">
        <v>1</v>
      </c>
      <c r="I238">
        <v>60525038</v>
      </c>
      <c r="J238">
        <v>0</v>
      </c>
      <c r="K238">
        <v>0</v>
      </c>
      <c r="L238">
        <v>0</v>
      </c>
      <c r="M238">
        <v>0</v>
      </c>
      <c r="N238">
        <v>70</v>
      </c>
      <c r="O238">
        <v>6.3</v>
      </c>
      <c r="P238">
        <v>0.85</v>
      </c>
      <c r="Q238">
        <v>1</v>
      </c>
      <c r="R238">
        <v>10.023529411764699</v>
      </c>
      <c r="S238">
        <v>0.1494045</v>
      </c>
      <c r="T238">
        <v>0.83859299999999992</v>
      </c>
      <c r="U238">
        <v>0.83859299999999992</v>
      </c>
      <c r="V238">
        <v>0.10120949999999998</v>
      </c>
      <c r="W238">
        <v>0.10120949999999998</v>
      </c>
      <c r="X238">
        <v>4.5999999999999988</v>
      </c>
      <c r="Y238">
        <v>0.1</v>
      </c>
      <c r="Z238">
        <v>0.5</v>
      </c>
      <c r="AA238">
        <v>0</v>
      </c>
      <c r="AB238">
        <v>8.193149999999999E-2</v>
      </c>
      <c r="AC238">
        <v>0</v>
      </c>
      <c r="AD238">
        <v>0</v>
      </c>
      <c r="AE238">
        <v>0</v>
      </c>
      <c r="AG238">
        <f t="array" ref="AG238:AH238">T1T2(T238,S238,V238,X238,Y238)</f>
        <v>0.79145640337381473</v>
      </c>
      <c r="AH238">
        <v>7.0145672133868409E-2</v>
      </c>
      <c r="AJ238">
        <f t="array" ref="AJ238:AM238">Canay(T238,AB238,S238,V238,AG238,AH238)</f>
        <v>0.22187978690120824</v>
      </c>
      <c r="AK238">
        <v>9.2731885685225571E-2</v>
      </c>
      <c r="AL238">
        <v>0.89674270728915584</v>
      </c>
      <c r="AM238">
        <v>2.5146333615114407E-2</v>
      </c>
      <c r="AO238" s="1">
        <f t="array" ref="AO238:AR238">Niipt(T238,AB238,S238,V238,X238,Y238)</f>
        <v>0.22720890325125839</v>
      </c>
      <c r="AP238" s="1">
        <v>7.4078748251748261E-2</v>
      </c>
      <c r="AQ238" s="1">
        <v>0.75082743099339999</v>
      </c>
      <c r="AR238" s="1">
        <v>2.6989199999999974E-2</v>
      </c>
      <c r="AT238" s="1">
        <f t="shared" si="13"/>
        <v>-2.4018034380134563</v>
      </c>
      <c r="AU238" s="1">
        <f t="shared" si="14"/>
        <v>20.115127925678756</v>
      </c>
      <c r="AV238" s="1">
        <f t="shared" si="15"/>
        <v>16.271699241007074</v>
      </c>
      <c r="AW238" s="1">
        <f t="shared" si="16"/>
        <v>-7.3285689003103682</v>
      </c>
    </row>
    <row r="239" spans="1:49" x14ac:dyDescent="0.25">
      <c r="A239" t="s">
        <v>31</v>
      </c>
      <c r="B239" t="s">
        <v>32</v>
      </c>
      <c r="C239">
        <v>60525036</v>
      </c>
      <c r="D239" t="s">
        <v>271</v>
      </c>
      <c r="E239">
        <v>60525036</v>
      </c>
      <c r="F239" t="s">
        <v>34</v>
      </c>
      <c r="G239">
        <v>0</v>
      </c>
      <c r="H239">
        <v>1</v>
      </c>
      <c r="I239">
        <v>60525036</v>
      </c>
      <c r="J239">
        <v>0</v>
      </c>
      <c r="K239">
        <v>0</v>
      </c>
      <c r="L239">
        <v>0</v>
      </c>
      <c r="M239">
        <v>0</v>
      </c>
      <c r="N239">
        <v>160</v>
      </c>
      <c r="O239">
        <v>18</v>
      </c>
      <c r="P239">
        <v>0.85</v>
      </c>
      <c r="Q239">
        <v>1</v>
      </c>
      <c r="R239">
        <v>13.1294117647059</v>
      </c>
      <c r="S239">
        <v>0.52325999999999995</v>
      </c>
      <c r="T239">
        <v>2.9485012500000001</v>
      </c>
      <c r="U239">
        <v>3.1498875000000002</v>
      </c>
      <c r="V239">
        <v>0.36662624999999999</v>
      </c>
      <c r="W239">
        <v>0.46473750000000003</v>
      </c>
      <c r="X239">
        <v>5.42</v>
      </c>
      <c r="Y239">
        <v>0.12</v>
      </c>
      <c r="Z239">
        <v>0.5</v>
      </c>
      <c r="AA239">
        <v>0</v>
      </c>
      <c r="AB239">
        <v>0.158355</v>
      </c>
      <c r="AC239">
        <v>0</v>
      </c>
      <c r="AD239">
        <v>0</v>
      </c>
      <c r="AE239">
        <v>0</v>
      </c>
      <c r="AG239">
        <f t="array" ref="AG239:AH239">T1T2(T239,S239,V239,X239,Y239)</f>
        <v>0.93061430989131422</v>
      </c>
      <c r="AH239">
        <v>8.6902655355069469E-2</v>
      </c>
      <c r="AJ239">
        <f t="array" ref="AJ239:AM239">Canay(T239,AB239,S239,V239,AG239,AH239)</f>
        <v>0.64133409368868932</v>
      </c>
      <c r="AK239">
        <v>0.44286453708593487</v>
      </c>
      <c r="AL239">
        <v>6.5095696119912567</v>
      </c>
      <c r="AM239">
        <v>0.45766593321908211</v>
      </c>
      <c r="AO239" s="1">
        <f t="array" ref="AO239:AR239">Niipt(T239,AB239,S239,V239,X239,Y239)</f>
        <v>0.63650397282010074</v>
      </c>
      <c r="AP239" s="1">
        <v>0.41980908800567773</v>
      </c>
      <c r="AQ239" s="1">
        <v>6.591611782428064</v>
      </c>
      <c r="AR239" s="1">
        <v>0.4852033516483516</v>
      </c>
      <c r="AT239" s="1">
        <f t="shared" si="13"/>
        <v>0.75313645666453177</v>
      </c>
      <c r="AU239" s="1">
        <f t="shared" si="14"/>
        <v>5.2059822247143224</v>
      </c>
      <c r="AV239" s="1">
        <f t="shared" si="15"/>
        <v>-1.2603317166418755</v>
      </c>
      <c r="AW239" s="1">
        <f t="shared" si="16"/>
        <v>-6.0169255412085656</v>
      </c>
    </row>
    <row r="240" spans="1:49" x14ac:dyDescent="0.25">
      <c r="A240" t="s">
        <v>31</v>
      </c>
      <c r="B240" t="s">
        <v>31</v>
      </c>
      <c r="C240">
        <v>60525031</v>
      </c>
      <c r="D240" t="s">
        <v>272</v>
      </c>
      <c r="E240">
        <v>60525031</v>
      </c>
      <c r="F240" t="s">
        <v>34</v>
      </c>
      <c r="G240">
        <v>0</v>
      </c>
      <c r="H240">
        <v>1</v>
      </c>
      <c r="I240">
        <v>60525031</v>
      </c>
      <c r="J240">
        <v>0</v>
      </c>
      <c r="K240">
        <v>0</v>
      </c>
      <c r="L240">
        <v>162.91999999999999</v>
      </c>
      <c r="M240">
        <v>0</v>
      </c>
      <c r="N240">
        <v>180</v>
      </c>
      <c r="O240">
        <v>18</v>
      </c>
      <c r="P240">
        <v>0.85</v>
      </c>
      <c r="Q240">
        <v>1</v>
      </c>
      <c r="R240">
        <v>11.670588235294098</v>
      </c>
      <c r="S240">
        <v>0.50490000000000002</v>
      </c>
      <c r="T240">
        <v>7.7264999999999988</v>
      </c>
      <c r="U240">
        <v>3.4272</v>
      </c>
      <c r="V240">
        <v>0.36720000000000003</v>
      </c>
      <c r="W240">
        <v>0.41309999999999997</v>
      </c>
      <c r="X240">
        <v>4.62</v>
      </c>
      <c r="Y240">
        <v>0.16</v>
      </c>
      <c r="Z240">
        <v>0.5</v>
      </c>
      <c r="AA240">
        <v>0</v>
      </c>
      <c r="AB240">
        <v>0.14076</v>
      </c>
      <c r="AC240">
        <v>0</v>
      </c>
      <c r="AD240">
        <v>0</v>
      </c>
      <c r="AE240">
        <v>0</v>
      </c>
      <c r="AG240">
        <f t="array" ref="AG240:AH240">T1T2(T240,S240,V240,X240,Y240)</f>
        <v>0.25063525124762831</v>
      </c>
      <c r="AH240">
        <v>0.14016502808295764</v>
      </c>
      <c r="AJ240">
        <f t="array" ref="AJ240:AM240">Canay(T240,AB240,S240,V240,AG240,AH240)</f>
        <v>3.9138504080550569</v>
      </c>
      <c r="AK240">
        <v>0.77415417649928819</v>
      </c>
      <c r="AL240">
        <v>2.9953956128480552</v>
      </c>
      <c r="AM240">
        <v>0.3341551061195584</v>
      </c>
      <c r="AO240" s="1">
        <f t="array" ref="AO240:AR240">Niipt(T240,AB240,S240,V240,X240,Y240)</f>
        <v>0</v>
      </c>
      <c r="AP240" s="1">
        <v>0</v>
      </c>
      <c r="AQ240" s="1">
        <v>0</v>
      </c>
      <c r="AR240" s="1">
        <v>0</v>
      </c>
      <c r="AT240" s="1">
        <f t="shared" si="13"/>
        <v>0</v>
      </c>
      <c r="AU240" s="1">
        <f t="shared" si="14"/>
        <v>0</v>
      </c>
      <c r="AV240" s="1">
        <f t="shared" si="15"/>
        <v>0</v>
      </c>
      <c r="AW240" s="1">
        <f t="shared" si="16"/>
        <v>0</v>
      </c>
    </row>
    <row r="241" spans="1:49" x14ac:dyDescent="0.25">
      <c r="A241" t="s">
        <v>31</v>
      </c>
      <c r="B241" t="s">
        <v>31</v>
      </c>
      <c r="C241">
        <v>60525032</v>
      </c>
      <c r="D241" t="s">
        <v>273</v>
      </c>
      <c r="E241">
        <v>60525032</v>
      </c>
      <c r="F241" t="s">
        <v>34</v>
      </c>
      <c r="G241">
        <v>0</v>
      </c>
      <c r="H241">
        <v>1</v>
      </c>
      <c r="I241">
        <v>60525032</v>
      </c>
      <c r="J241">
        <v>0</v>
      </c>
      <c r="K241">
        <v>0</v>
      </c>
      <c r="L241">
        <v>162</v>
      </c>
      <c r="M241">
        <v>8.1379455438833386</v>
      </c>
      <c r="N241">
        <v>160</v>
      </c>
      <c r="O241">
        <v>18</v>
      </c>
      <c r="P241">
        <v>0.85</v>
      </c>
      <c r="Q241">
        <v>1</v>
      </c>
      <c r="R241">
        <v>12.4</v>
      </c>
      <c r="S241">
        <v>0.56629124999999991</v>
      </c>
      <c r="T241">
        <v>3.9588749999999995</v>
      </c>
      <c r="U241">
        <v>3.8555999999999995</v>
      </c>
      <c r="V241">
        <v>0.38039624999999994</v>
      </c>
      <c r="W241">
        <v>0.51637500000000003</v>
      </c>
      <c r="X241">
        <v>5.9</v>
      </c>
      <c r="Y241">
        <v>0.1</v>
      </c>
      <c r="Z241">
        <v>0.5</v>
      </c>
      <c r="AA241">
        <v>0</v>
      </c>
      <c r="AB241">
        <v>0.28744874999999998</v>
      </c>
      <c r="AC241">
        <v>0</v>
      </c>
      <c r="AD241">
        <v>0</v>
      </c>
      <c r="AE241">
        <v>0</v>
      </c>
      <c r="AG241">
        <f t="array" ref="AG241:AH241">T1T2(T241,S241,V241,X241,Y241)</f>
        <v>0.81427879693616156</v>
      </c>
      <c r="AH241">
        <v>6.9621491510199057E-2</v>
      </c>
      <c r="AJ241">
        <f t="array" ref="AJ241:AM241">Canay(T241,AB241,S241,V241,AG241,AH241)</f>
        <v>0.80222967910395426</v>
      </c>
      <c r="AK241">
        <v>0.3611335589030335</v>
      </c>
      <c r="AL241">
        <v>3.9052350069237938</v>
      </c>
      <c r="AM241">
        <v>0.12957850557542516</v>
      </c>
      <c r="AO241" s="1">
        <f t="array" ref="AO241:AR241">Niipt(T241,AB241,S241,V241,X241,Y241)</f>
        <v>0.81022664843980352</v>
      </c>
      <c r="AP241" s="1">
        <v>0.30176106164383548</v>
      </c>
      <c r="AQ241" s="1">
        <v>3.4764079309159022</v>
      </c>
      <c r="AR241" s="1">
        <v>0.13942124999999994</v>
      </c>
      <c r="AT241" s="1">
        <f t="shared" si="13"/>
        <v>-0.99684286734210914</v>
      </c>
      <c r="AU241" s="1">
        <f t="shared" si="14"/>
        <v>16.440592627155951</v>
      </c>
      <c r="AV241" s="1">
        <f t="shared" si="15"/>
        <v>10.980826384266294</v>
      </c>
      <c r="AW241" s="1">
        <f t="shared" si="16"/>
        <v>-7.5959700112805413</v>
      </c>
    </row>
    <row r="242" spans="1:49" x14ac:dyDescent="0.25">
      <c r="A242" t="s">
        <v>31</v>
      </c>
      <c r="B242" t="s">
        <v>31</v>
      </c>
      <c r="C242">
        <v>60525023</v>
      </c>
      <c r="D242" t="s">
        <v>274</v>
      </c>
      <c r="E242">
        <v>60525023</v>
      </c>
      <c r="F242" t="s">
        <v>34</v>
      </c>
      <c r="G242">
        <v>0</v>
      </c>
      <c r="H242">
        <v>1</v>
      </c>
      <c r="I242">
        <v>60525023</v>
      </c>
      <c r="J242">
        <v>0</v>
      </c>
      <c r="K242">
        <v>0</v>
      </c>
      <c r="L242">
        <v>0</v>
      </c>
      <c r="M242">
        <v>0</v>
      </c>
      <c r="N242">
        <v>160</v>
      </c>
      <c r="O242">
        <v>18</v>
      </c>
      <c r="P242">
        <v>0.85</v>
      </c>
      <c r="Q242">
        <v>1</v>
      </c>
      <c r="R242">
        <v>8.047058823529408</v>
      </c>
      <c r="S242">
        <v>0.56629124999999991</v>
      </c>
      <c r="T242">
        <v>3.9588749999999995</v>
      </c>
      <c r="U242">
        <v>3.8555999999999995</v>
      </c>
      <c r="V242">
        <v>0.38039624999999994</v>
      </c>
      <c r="W242">
        <v>0.51637500000000003</v>
      </c>
      <c r="X242">
        <v>5.9</v>
      </c>
      <c r="Y242">
        <v>0.1</v>
      </c>
      <c r="Z242">
        <v>0.5</v>
      </c>
      <c r="AA242">
        <v>0</v>
      </c>
      <c r="AB242">
        <v>0.28744874999999998</v>
      </c>
      <c r="AC242">
        <v>0</v>
      </c>
      <c r="AD242">
        <v>0</v>
      </c>
      <c r="AE242">
        <v>0</v>
      </c>
      <c r="AG242">
        <f t="array" ref="AG242:AH242">T1T2(T242,S242,V242,X242,Y242)</f>
        <v>0.81427879693616156</v>
      </c>
      <c r="AH242">
        <v>6.9621491510199057E-2</v>
      </c>
      <c r="AJ242">
        <f t="array" ref="AJ242:AM242">Canay(T242,AB242,S242,V242,AG242,AH242)</f>
        <v>0.80222967910395426</v>
      </c>
      <c r="AK242">
        <v>0.3611335589030335</v>
      </c>
      <c r="AL242">
        <v>3.9052350069237938</v>
      </c>
      <c r="AM242">
        <v>0.12957850557542516</v>
      </c>
      <c r="AO242" s="1">
        <f t="array" ref="AO242:AR242">Niipt(T242,AB242,S242,V242,X242,Y242)</f>
        <v>0.81022664843980352</v>
      </c>
      <c r="AP242" s="1">
        <v>0.30176106164383548</v>
      </c>
      <c r="AQ242" s="1">
        <v>3.4764079309159022</v>
      </c>
      <c r="AR242" s="1">
        <v>0.13942124999999994</v>
      </c>
      <c r="AT242" s="1">
        <f t="shared" si="13"/>
        <v>-0.99684286734210914</v>
      </c>
      <c r="AU242" s="1">
        <f t="shared" si="14"/>
        <v>16.440592627155951</v>
      </c>
      <c r="AV242" s="1">
        <f t="shared" si="15"/>
        <v>10.980826384266294</v>
      </c>
      <c r="AW242" s="1">
        <f t="shared" si="16"/>
        <v>-7.5959700112805413</v>
      </c>
    </row>
    <row r="243" spans="1:49" x14ac:dyDescent="0.25">
      <c r="A243" t="s">
        <v>31</v>
      </c>
      <c r="B243" t="s">
        <v>31</v>
      </c>
      <c r="C243">
        <v>60525024</v>
      </c>
      <c r="D243" t="s">
        <v>275</v>
      </c>
      <c r="E243">
        <v>60525024</v>
      </c>
      <c r="F243" t="s">
        <v>34</v>
      </c>
      <c r="G243">
        <v>0</v>
      </c>
      <c r="H243">
        <v>1</v>
      </c>
      <c r="I243">
        <v>60525024</v>
      </c>
      <c r="J243">
        <v>0</v>
      </c>
      <c r="K243">
        <v>0</v>
      </c>
      <c r="L243">
        <v>136.88999999999999</v>
      </c>
      <c r="M243">
        <v>86.056342377080284</v>
      </c>
      <c r="N243">
        <v>160</v>
      </c>
      <c r="O243">
        <v>18</v>
      </c>
      <c r="P243">
        <v>0.85</v>
      </c>
      <c r="Q243">
        <v>1</v>
      </c>
      <c r="R243">
        <v>8.047058823529408</v>
      </c>
      <c r="S243">
        <v>0.56629124999999991</v>
      </c>
      <c r="T243">
        <v>3.9588749999999995</v>
      </c>
      <c r="U243">
        <v>3.8555999999999995</v>
      </c>
      <c r="V243">
        <v>0.38039624999999994</v>
      </c>
      <c r="W243">
        <v>0.51637500000000003</v>
      </c>
      <c r="X243">
        <v>5.9</v>
      </c>
      <c r="Y243">
        <v>0.1</v>
      </c>
      <c r="Z243">
        <v>0.5</v>
      </c>
      <c r="AA243">
        <v>0</v>
      </c>
      <c r="AB243">
        <v>0.28744874999999998</v>
      </c>
      <c r="AC243">
        <v>0</v>
      </c>
      <c r="AD243">
        <v>0</v>
      </c>
      <c r="AE243">
        <v>0</v>
      </c>
      <c r="AG243">
        <f t="array" ref="AG243:AH243">T1T2(T243,S243,V243,X243,Y243)</f>
        <v>0.81427879693616156</v>
      </c>
      <c r="AH243">
        <v>6.9621491510199057E-2</v>
      </c>
      <c r="AJ243">
        <f t="array" ref="AJ243:AM243">Canay(T243,AB243,S243,V243,AG243,AH243)</f>
        <v>0.80222967910395426</v>
      </c>
      <c r="AK243">
        <v>0.3611335589030335</v>
      </c>
      <c r="AL243">
        <v>3.9052350069237938</v>
      </c>
      <c r="AM243">
        <v>0.12957850557542516</v>
      </c>
      <c r="AO243" s="1">
        <f t="array" ref="AO243:AR243">Niipt(T243,AB243,S243,V243,X243,Y243)</f>
        <v>0.81022664843980352</v>
      </c>
      <c r="AP243" s="1">
        <v>0.30176106164383548</v>
      </c>
      <c r="AQ243" s="1">
        <v>3.4764079309159022</v>
      </c>
      <c r="AR243" s="1">
        <v>0.13942124999999994</v>
      </c>
      <c r="AT243" s="1">
        <f t="shared" si="13"/>
        <v>-0.99684286734210914</v>
      </c>
      <c r="AU243" s="1">
        <f t="shared" si="14"/>
        <v>16.440592627155951</v>
      </c>
      <c r="AV243" s="1">
        <f t="shared" si="15"/>
        <v>10.980826384266294</v>
      </c>
      <c r="AW243" s="1">
        <f t="shared" si="16"/>
        <v>-7.5959700112805413</v>
      </c>
    </row>
    <row r="244" spans="1:49" x14ac:dyDescent="0.25">
      <c r="A244" t="s">
        <v>31</v>
      </c>
      <c r="B244" t="s">
        <v>32</v>
      </c>
      <c r="C244">
        <v>60522015</v>
      </c>
      <c r="D244" t="s">
        <v>276</v>
      </c>
      <c r="E244">
        <v>60522015</v>
      </c>
      <c r="F244" t="s">
        <v>34</v>
      </c>
      <c r="G244">
        <v>0</v>
      </c>
      <c r="H244">
        <v>1</v>
      </c>
      <c r="I244">
        <v>60522015</v>
      </c>
      <c r="J244">
        <v>0</v>
      </c>
      <c r="K244">
        <v>0</v>
      </c>
      <c r="L244">
        <v>0</v>
      </c>
      <c r="M244">
        <v>0</v>
      </c>
      <c r="N244">
        <v>500</v>
      </c>
      <c r="O244">
        <v>15.75</v>
      </c>
      <c r="P244">
        <v>0.85</v>
      </c>
      <c r="Q244">
        <v>1</v>
      </c>
      <c r="R244">
        <v>9.6289411764705886</v>
      </c>
      <c r="S244">
        <v>0.21928724999999999</v>
      </c>
      <c r="T244">
        <v>0.78437362499999985</v>
      </c>
      <c r="U244">
        <v>0.48917925000000001</v>
      </c>
      <c r="V244">
        <v>0.15603131249999996</v>
      </c>
      <c r="W244">
        <v>0.13494599999999998</v>
      </c>
      <c r="X244">
        <v>6.3</v>
      </c>
      <c r="Y244">
        <v>0.183</v>
      </c>
      <c r="Z244">
        <v>0.41699999999999993</v>
      </c>
      <c r="AA244">
        <v>0</v>
      </c>
      <c r="AB244">
        <v>0.10964362499999998</v>
      </c>
      <c r="AC244">
        <v>0</v>
      </c>
      <c r="AD244">
        <v>0</v>
      </c>
      <c r="AE244">
        <v>0</v>
      </c>
      <c r="AG244">
        <f t="array" ref="AG244:AH244">T1T2(T244,S244,V244,X244,Y244)</f>
        <v>1.7211814840830031</v>
      </c>
      <c r="AH244">
        <v>0.13324586901585866</v>
      </c>
      <c r="AJ244">
        <f t="array" ref="AJ244:AM244">Canay(T244,AB244,S244,V244,AG244,AH244)</f>
        <v>0.14396282575482211</v>
      </c>
      <c r="AK244">
        <v>0.14755498899002409</v>
      </c>
      <c r="AL244">
        <v>0.97240048249136268</v>
      </c>
      <c r="AM244">
        <v>7.5197944905684017E-2</v>
      </c>
      <c r="AO244" s="1">
        <f t="array" ref="AO244:AR244">Niipt(T244,AB244,S244,V244,X244,Y244)</f>
        <v>0.14194124954799556</v>
      </c>
      <c r="AP244" s="1">
        <v>0.13091776119402984</v>
      </c>
      <c r="AQ244" s="1">
        <v>0.93564352354674252</v>
      </c>
      <c r="AR244" s="1">
        <v>8.0405324999999916E-2</v>
      </c>
      <c r="AT244" s="1">
        <f t="shared" si="13"/>
        <v>1.404234875376388</v>
      </c>
      <c r="AU244" s="1">
        <f t="shared" si="14"/>
        <v>11.275272974415699</v>
      </c>
      <c r="AV244" s="1">
        <f t="shared" si="15"/>
        <v>3.7800226970729276</v>
      </c>
      <c r="AW244" s="1">
        <f t="shared" si="16"/>
        <v>-6.9248968184531972</v>
      </c>
    </row>
    <row r="245" spans="1:49" x14ac:dyDescent="0.25">
      <c r="A245" t="s">
        <v>31</v>
      </c>
      <c r="B245" t="s">
        <v>32</v>
      </c>
      <c r="C245">
        <v>60522016</v>
      </c>
      <c r="D245" t="s">
        <v>277</v>
      </c>
      <c r="E245">
        <v>60522016</v>
      </c>
      <c r="F245" t="s">
        <v>34</v>
      </c>
      <c r="G245">
        <v>0</v>
      </c>
      <c r="H245">
        <v>1</v>
      </c>
      <c r="I245">
        <v>60522016</v>
      </c>
      <c r="J245">
        <v>0</v>
      </c>
      <c r="K245">
        <v>0</v>
      </c>
      <c r="L245">
        <v>0</v>
      </c>
      <c r="M245">
        <v>0</v>
      </c>
      <c r="N245">
        <v>500</v>
      </c>
      <c r="O245">
        <v>15.75</v>
      </c>
      <c r="P245">
        <v>0.85</v>
      </c>
      <c r="Q245">
        <v>1</v>
      </c>
      <c r="R245">
        <v>9.6289411764705886</v>
      </c>
      <c r="S245">
        <v>0.21928724999999999</v>
      </c>
      <c r="T245">
        <v>0.78437362499999985</v>
      </c>
      <c r="U245">
        <v>0.48917925000000001</v>
      </c>
      <c r="V245">
        <v>0.15603131249999996</v>
      </c>
      <c r="W245">
        <v>0.17289956249999996</v>
      </c>
      <c r="X245">
        <v>6.3</v>
      </c>
      <c r="Y245">
        <v>0.183</v>
      </c>
      <c r="Z245">
        <v>0.41699999999999993</v>
      </c>
      <c r="AA245">
        <v>0</v>
      </c>
      <c r="AB245">
        <v>0.10964362499999998</v>
      </c>
      <c r="AC245">
        <v>0</v>
      </c>
      <c r="AD245">
        <v>0</v>
      </c>
      <c r="AE245">
        <v>0</v>
      </c>
      <c r="AG245">
        <f t="array" ref="AG245:AH245">T1T2(T245,S245,V245,X245,Y245)</f>
        <v>1.7211814840830031</v>
      </c>
      <c r="AH245">
        <v>0.13324586901585866</v>
      </c>
      <c r="AJ245">
        <f t="array" ref="AJ245:AM245">Canay(T245,AB245,S245,V245,AG245,AH245)</f>
        <v>0.14396282575482211</v>
      </c>
      <c r="AK245">
        <v>0.14755498899002409</v>
      </c>
      <c r="AL245">
        <v>0.97240048249136268</v>
      </c>
      <c r="AM245">
        <v>7.5197944905684017E-2</v>
      </c>
      <c r="AO245" s="1">
        <f t="array" ref="AO245:AR245">Niipt(T245,AB245,S245,V245,X245,Y245)</f>
        <v>0.14194124954799556</v>
      </c>
      <c r="AP245" s="1">
        <v>0.13091776119402984</v>
      </c>
      <c r="AQ245" s="1">
        <v>0.93564352354674252</v>
      </c>
      <c r="AR245" s="1">
        <v>8.0405324999999916E-2</v>
      </c>
      <c r="AT245" s="1">
        <f t="shared" si="13"/>
        <v>1.404234875376388</v>
      </c>
      <c r="AU245" s="1">
        <f t="shared" si="14"/>
        <v>11.275272974415699</v>
      </c>
      <c r="AV245" s="1">
        <f t="shared" si="15"/>
        <v>3.7800226970729276</v>
      </c>
      <c r="AW245" s="1">
        <f t="shared" si="16"/>
        <v>-6.9248968184531972</v>
      </c>
    </row>
    <row r="246" spans="1:49" x14ac:dyDescent="0.25">
      <c r="A246" t="s">
        <v>31</v>
      </c>
      <c r="B246" t="s">
        <v>31</v>
      </c>
      <c r="C246">
        <v>60522004</v>
      </c>
      <c r="D246" t="s">
        <v>278</v>
      </c>
      <c r="E246">
        <v>60522004</v>
      </c>
      <c r="F246" t="s">
        <v>34</v>
      </c>
      <c r="G246">
        <v>0</v>
      </c>
      <c r="H246">
        <v>1</v>
      </c>
      <c r="I246">
        <v>60522004</v>
      </c>
      <c r="J246">
        <v>0</v>
      </c>
      <c r="K246">
        <v>0</v>
      </c>
      <c r="L246">
        <v>411.52</v>
      </c>
      <c r="M246">
        <v>275.04385293104497</v>
      </c>
      <c r="N246">
        <v>500</v>
      </c>
      <c r="O246">
        <v>15.75</v>
      </c>
      <c r="P246">
        <v>0.85</v>
      </c>
      <c r="Q246">
        <v>1</v>
      </c>
      <c r="R246">
        <v>9.6289411764705886</v>
      </c>
      <c r="S246">
        <v>0.21928724999999999</v>
      </c>
      <c r="T246">
        <v>0.78437362499999985</v>
      </c>
      <c r="U246">
        <v>0.48917925000000001</v>
      </c>
      <c r="V246">
        <v>0.15603131249999996</v>
      </c>
      <c r="W246">
        <v>0.17289956249999996</v>
      </c>
      <c r="X246">
        <v>6.3</v>
      </c>
      <c r="Y246">
        <v>0.183</v>
      </c>
      <c r="Z246">
        <v>0.41699999999999993</v>
      </c>
      <c r="AA246">
        <v>0</v>
      </c>
      <c r="AB246">
        <v>0.10964362499999998</v>
      </c>
      <c r="AC246">
        <v>0</v>
      </c>
      <c r="AD246">
        <v>0</v>
      </c>
      <c r="AE246">
        <v>0</v>
      </c>
      <c r="AG246">
        <f t="array" ref="AG246:AH246">T1T2(T246,S246,V246,X246,Y246)</f>
        <v>1.7211814840830031</v>
      </c>
      <c r="AH246">
        <v>0.13324586901585866</v>
      </c>
      <c r="AJ246">
        <f t="array" ref="AJ246:AM246">Canay(T246,AB246,S246,V246,AG246,AH246)</f>
        <v>0.14396282575482211</v>
      </c>
      <c r="AK246">
        <v>0.14755498899002409</v>
      </c>
      <c r="AL246">
        <v>0.97240048249136268</v>
      </c>
      <c r="AM246">
        <v>7.5197944905684017E-2</v>
      </c>
      <c r="AO246" s="1">
        <f t="array" ref="AO246:AR246">Niipt(T246,AB246,S246,V246,X246,Y246)</f>
        <v>0.14194124954799556</v>
      </c>
      <c r="AP246" s="1">
        <v>0.13091776119402984</v>
      </c>
      <c r="AQ246" s="1">
        <v>0.93564352354674252</v>
      </c>
      <c r="AR246" s="1">
        <v>8.0405324999999916E-2</v>
      </c>
      <c r="AT246" s="1">
        <f t="shared" si="13"/>
        <v>1.404234875376388</v>
      </c>
      <c r="AU246" s="1">
        <f t="shared" si="14"/>
        <v>11.275272974415699</v>
      </c>
      <c r="AV246" s="1">
        <f t="shared" si="15"/>
        <v>3.7800226970729276</v>
      </c>
      <c r="AW246" s="1">
        <f t="shared" si="16"/>
        <v>-6.9248968184531972</v>
      </c>
    </row>
    <row r="247" spans="1:49" x14ac:dyDescent="0.25">
      <c r="A247" t="s">
        <v>31</v>
      </c>
      <c r="B247" t="s">
        <v>32</v>
      </c>
      <c r="C247">
        <v>60522017</v>
      </c>
      <c r="D247" t="s">
        <v>279</v>
      </c>
      <c r="E247">
        <v>60522017</v>
      </c>
      <c r="F247" t="s">
        <v>34</v>
      </c>
      <c r="G247">
        <v>0</v>
      </c>
      <c r="H247">
        <v>1</v>
      </c>
      <c r="I247">
        <v>60522017</v>
      </c>
      <c r="J247">
        <v>0</v>
      </c>
      <c r="K247">
        <v>0</v>
      </c>
      <c r="L247">
        <v>0</v>
      </c>
      <c r="M247">
        <v>0</v>
      </c>
      <c r="N247">
        <v>500</v>
      </c>
      <c r="O247">
        <v>15.75</v>
      </c>
      <c r="P247">
        <v>0.85</v>
      </c>
      <c r="Q247">
        <v>1</v>
      </c>
      <c r="R247">
        <v>9.6289411764705886</v>
      </c>
      <c r="S247">
        <v>0.21928724999999999</v>
      </c>
      <c r="T247">
        <v>0.78437362499999985</v>
      </c>
      <c r="U247">
        <v>0.48917925000000001</v>
      </c>
      <c r="V247">
        <v>0.15603131249999996</v>
      </c>
      <c r="W247">
        <v>0.17289956249999996</v>
      </c>
      <c r="X247">
        <v>6.3</v>
      </c>
      <c r="Y247">
        <v>0.183</v>
      </c>
      <c r="Z247">
        <v>0.41699999999999993</v>
      </c>
      <c r="AA247">
        <v>0</v>
      </c>
      <c r="AB247">
        <v>0.10964362499999998</v>
      </c>
      <c r="AC247">
        <v>0</v>
      </c>
      <c r="AD247">
        <v>0</v>
      </c>
      <c r="AE247">
        <v>0</v>
      </c>
      <c r="AG247">
        <f t="array" ref="AG247:AH247">T1T2(T247,S247,V247,X247,Y247)</f>
        <v>1.7211814840830031</v>
      </c>
      <c r="AH247">
        <v>0.13324586901585866</v>
      </c>
      <c r="AJ247">
        <f t="array" ref="AJ247:AM247">Canay(T247,AB247,S247,V247,AG247,AH247)</f>
        <v>0.14396282575482211</v>
      </c>
      <c r="AK247">
        <v>0.14755498899002409</v>
      </c>
      <c r="AL247">
        <v>0.97240048249136268</v>
      </c>
      <c r="AM247">
        <v>7.5197944905684017E-2</v>
      </c>
      <c r="AO247" s="1">
        <f t="array" ref="AO247:AR247">Niipt(T247,AB247,S247,V247,X247,Y247)</f>
        <v>0.14194124954799556</v>
      </c>
      <c r="AP247" s="1">
        <v>0.13091776119402984</v>
      </c>
      <c r="AQ247" s="1">
        <v>0.93564352354674252</v>
      </c>
      <c r="AR247" s="1">
        <v>8.0405324999999916E-2</v>
      </c>
      <c r="AT247" s="1">
        <f t="shared" si="13"/>
        <v>1.404234875376388</v>
      </c>
      <c r="AU247" s="1">
        <f t="shared" si="14"/>
        <v>11.275272974415699</v>
      </c>
      <c r="AV247" s="1">
        <f t="shared" si="15"/>
        <v>3.7800226970729276</v>
      </c>
      <c r="AW247" s="1">
        <f t="shared" si="16"/>
        <v>-6.9248968184531972</v>
      </c>
    </row>
    <row r="248" spans="1:49" x14ac:dyDescent="0.25">
      <c r="A248" t="s">
        <v>31</v>
      </c>
      <c r="B248" t="s">
        <v>31</v>
      </c>
      <c r="C248">
        <v>60522003</v>
      </c>
      <c r="D248" t="s">
        <v>280</v>
      </c>
      <c r="E248">
        <v>60522003</v>
      </c>
      <c r="F248" t="s">
        <v>34</v>
      </c>
      <c r="G248">
        <v>0</v>
      </c>
      <c r="H248">
        <v>1</v>
      </c>
      <c r="I248">
        <v>60522003</v>
      </c>
      <c r="J248">
        <v>0</v>
      </c>
      <c r="K248">
        <v>0</v>
      </c>
      <c r="L248">
        <v>419.48</v>
      </c>
      <c r="M248">
        <v>258.36821471266995</v>
      </c>
      <c r="N248">
        <v>500</v>
      </c>
      <c r="O248">
        <v>15.75</v>
      </c>
      <c r="P248">
        <v>0.85</v>
      </c>
      <c r="Q248">
        <v>1</v>
      </c>
      <c r="R248">
        <v>9.6289411764705886</v>
      </c>
      <c r="S248">
        <v>0.21928724999999999</v>
      </c>
      <c r="T248">
        <v>0.78437362499999985</v>
      </c>
      <c r="U248">
        <v>0.48917925000000001</v>
      </c>
      <c r="V248">
        <v>0.15603131249999996</v>
      </c>
      <c r="W248">
        <v>0.13494599999999998</v>
      </c>
      <c r="X248">
        <v>6.3</v>
      </c>
      <c r="Y248">
        <v>0.183</v>
      </c>
      <c r="Z248">
        <v>0.41699999999999993</v>
      </c>
      <c r="AA248">
        <v>0</v>
      </c>
      <c r="AB248">
        <v>0.10964362499999998</v>
      </c>
      <c r="AC248">
        <v>0</v>
      </c>
      <c r="AD248">
        <v>0</v>
      </c>
      <c r="AE248">
        <v>0</v>
      </c>
      <c r="AG248">
        <f t="array" ref="AG248:AH248">T1T2(T248,S248,V248,X248,Y248)</f>
        <v>1.7211814840830031</v>
      </c>
      <c r="AH248">
        <v>0.13324586901585866</v>
      </c>
      <c r="AJ248">
        <f t="array" ref="AJ248:AM248">Canay(T248,AB248,S248,V248,AG248,AH248)</f>
        <v>0.14396282575482211</v>
      </c>
      <c r="AK248">
        <v>0.14755498899002409</v>
      </c>
      <c r="AL248">
        <v>0.97240048249136268</v>
      </c>
      <c r="AM248">
        <v>7.5197944905684017E-2</v>
      </c>
      <c r="AO248" s="1">
        <f t="array" ref="AO248:AR248">Niipt(T248,AB248,S248,V248,X248,Y248)</f>
        <v>0.14194124954799556</v>
      </c>
      <c r="AP248" s="1">
        <v>0.13091776119402984</v>
      </c>
      <c r="AQ248" s="1">
        <v>0.93564352354674252</v>
      </c>
      <c r="AR248" s="1">
        <v>8.0405324999999916E-2</v>
      </c>
      <c r="AT248" s="1">
        <f t="shared" si="13"/>
        <v>1.404234875376388</v>
      </c>
      <c r="AU248" s="1">
        <f t="shared" si="14"/>
        <v>11.275272974415699</v>
      </c>
      <c r="AV248" s="1">
        <f t="shared" si="15"/>
        <v>3.7800226970729276</v>
      </c>
      <c r="AW248" s="1">
        <f t="shared" si="16"/>
        <v>-6.9248968184531972</v>
      </c>
    </row>
    <row r="249" spans="1:49" x14ac:dyDescent="0.25">
      <c r="A249" t="s">
        <v>31</v>
      </c>
      <c r="B249" t="s">
        <v>31</v>
      </c>
      <c r="C249">
        <v>60522018</v>
      </c>
      <c r="D249" t="s">
        <v>281</v>
      </c>
      <c r="E249">
        <v>60522018</v>
      </c>
      <c r="F249" t="s">
        <v>34</v>
      </c>
      <c r="G249">
        <v>0</v>
      </c>
      <c r="H249">
        <v>1</v>
      </c>
      <c r="I249">
        <v>60522018</v>
      </c>
      <c r="J249">
        <v>0</v>
      </c>
      <c r="K249">
        <v>0</v>
      </c>
      <c r="L249">
        <v>500</v>
      </c>
      <c r="M249">
        <v>47.977350305559</v>
      </c>
      <c r="N249">
        <v>500</v>
      </c>
      <c r="O249">
        <v>15.75</v>
      </c>
      <c r="P249">
        <v>0.85</v>
      </c>
      <c r="Q249">
        <v>1</v>
      </c>
      <c r="R249">
        <v>9.6289411764705886</v>
      </c>
      <c r="S249">
        <v>0.21928724999999999</v>
      </c>
      <c r="T249">
        <v>0.78437362499999985</v>
      </c>
      <c r="U249">
        <v>0.48917925000000001</v>
      </c>
      <c r="V249">
        <v>0.15603131249999996</v>
      </c>
      <c r="W249">
        <v>0.13494599999999998</v>
      </c>
      <c r="X249">
        <v>6.3</v>
      </c>
      <c r="Y249">
        <v>0.183</v>
      </c>
      <c r="Z249">
        <v>0.41699999999999993</v>
      </c>
      <c r="AA249">
        <v>0</v>
      </c>
      <c r="AB249">
        <v>0.10964362499999998</v>
      </c>
      <c r="AC249">
        <v>0</v>
      </c>
      <c r="AD249">
        <v>0</v>
      </c>
      <c r="AE249">
        <v>0</v>
      </c>
      <c r="AG249">
        <f t="array" ref="AG249:AH249">T1T2(T249,S249,V249,X249,Y249)</f>
        <v>1.7211814840830031</v>
      </c>
      <c r="AH249">
        <v>0.13324586901585866</v>
      </c>
      <c r="AJ249">
        <f t="array" ref="AJ249:AM249">Canay(T249,AB249,S249,V249,AG249,AH249)</f>
        <v>0.14396282575482211</v>
      </c>
      <c r="AK249">
        <v>0.14755498899002409</v>
      </c>
      <c r="AL249">
        <v>0.97240048249136268</v>
      </c>
      <c r="AM249">
        <v>7.5197944905684017E-2</v>
      </c>
      <c r="AO249" s="1">
        <f t="array" ref="AO249:AR249">Niipt(T249,AB249,S249,V249,X249,Y249)</f>
        <v>0.14194124954799556</v>
      </c>
      <c r="AP249" s="1">
        <v>0.13091776119402984</v>
      </c>
      <c r="AQ249" s="1">
        <v>0.93564352354674252</v>
      </c>
      <c r="AR249" s="1">
        <v>8.0405324999999916E-2</v>
      </c>
      <c r="AT249" s="1">
        <f t="shared" si="13"/>
        <v>1.404234875376388</v>
      </c>
      <c r="AU249" s="1">
        <f t="shared" si="14"/>
        <v>11.275272974415699</v>
      </c>
      <c r="AV249" s="1">
        <f t="shared" si="15"/>
        <v>3.7800226970729276</v>
      </c>
      <c r="AW249" s="1">
        <f t="shared" si="16"/>
        <v>-6.9248968184531972</v>
      </c>
    </row>
    <row r="250" spans="1:49" x14ac:dyDescent="0.25">
      <c r="A250" t="s">
        <v>31</v>
      </c>
      <c r="B250" t="s">
        <v>32</v>
      </c>
      <c r="C250">
        <v>60521002</v>
      </c>
      <c r="D250" t="s">
        <v>282</v>
      </c>
      <c r="E250">
        <v>60521002</v>
      </c>
      <c r="F250" t="s">
        <v>34</v>
      </c>
      <c r="G250">
        <v>0</v>
      </c>
      <c r="H250">
        <v>1</v>
      </c>
      <c r="I250">
        <v>60521002</v>
      </c>
      <c r="J250">
        <v>0</v>
      </c>
      <c r="K250">
        <v>0</v>
      </c>
      <c r="L250">
        <v>0</v>
      </c>
      <c r="M250">
        <v>0</v>
      </c>
      <c r="N250">
        <v>500</v>
      </c>
      <c r="O250">
        <v>15.75</v>
      </c>
      <c r="P250">
        <v>0.85</v>
      </c>
      <c r="Q250">
        <v>1</v>
      </c>
      <c r="R250">
        <v>9.6289411764705886</v>
      </c>
      <c r="S250">
        <v>0.21928724999999999</v>
      </c>
      <c r="T250">
        <v>0.78437362499999985</v>
      </c>
      <c r="U250">
        <v>0.48917925000000001</v>
      </c>
      <c r="V250">
        <v>0.15603131249999996</v>
      </c>
      <c r="W250">
        <v>0.13494599999999998</v>
      </c>
      <c r="X250">
        <v>6.3</v>
      </c>
      <c r="Y250">
        <v>0.183</v>
      </c>
      <c r="Z250">
        <v>0.41699999999999993</v>
      </c>
      <c r="AA250">
        <v>0</v>
      </c>
      <c r="AB250">
        <v>0.10964362499999998</v>
      </c>
      <c r="AC250">
        <v>0</v>
      </c>
      <c r="AD250">
        <v>0</v>
      </c>
      <c r="AE250">
        <v>0</v>
      </c>
      <c r="AG250">
        <f t="array" ref="AG250:AH250">T1T2(T250,S250,V250,X250,Y250)</f>
        <v>1.7211814840830031</v>
      </c>
      <c r="AH250">
        <v>0.13324586901585866</v>
      </c>
      <c r="AJ250">
        <f t="array" ref="AJ250:AM250">Canay(T250,AB250,S250,V250,AG250,AH250)</f>
        <v>0.14396282575482211</v>
      </c>
      <c r="AK250">
        <v>0.14755498899002409</v>
      </c>
      <c r="AL250">
        <v>0.97240048249136268</v>
      </c>
      <c r="AM250">
        <v>7.5197944905684017E-2</v>
      </c>
      <c r="AO250" s="1">
        <f t="array" ref="AO250:AR250">Niipt(T250,AB250,S250,V250,X250,Y250)</f>
        <v>0.14194124954799556</v>
      </c>
      <c r="AP250" s="1">
        <v>0.13091776119402984</v>
      </c>
      <c r="AQ250" s="1">
        <v>0.93564352354674252</v>
      </c>
      <c r="AR250" s="1">
        <v>8.0405324999999916E-2</v>
      </c>
      <c r="AT250" s="1">
        <f t="shared" si="13"/>
        <v>1.404234875376388</v>
      </c>
      <c r="AU250" s="1">
        <f t="shared" si="14"/>
        <v>11.275272974415699</v>
      </c>
      <c r="AV250" s="1">
        <f t="shared" si="15"/>
        <v>3.7800226970729276</v>
      </c>
      <c r="AW250" s="1">
        <f t="shared" si="16"/>
        <v>-6.9248968184531972</v>
      </c>
    </row>
    <row r="251" spans="1:49" x14ac:dyDescent="0.25">
      <c r="A251" t="s">
        <v>31</v>
      </c>
      <c r="B251" t="s">
        <v>31</v>
      </c>
      <c r="C251">
        <v>60521008</v>
      </c>
      <c r="D251" t="s">
        <v>283</v>
      </c>
      <c r="E251">
        <v>60521008</v>
      </c>
      <c r="F251" t="s">
        <v>34</v>
      </c>
      <c r="G251">
        <v>0</v>
      </c>
      <c r="H251">
        <v>1</v>
      </c>
      <c r="I251">
        <v>60521008</v>
      </c>
      <c r="J251">
        <v>0</v>
      </c>
      <c r="K251">
        <v>0</v>
      </c>
      <c r="L251">
        <v>408.66</v>
      </c>
      <c r="M251">
        <v>39.328425511303891</v>
      </c>
      <c r="N251">
        <v>500</v>
      </c>
      <c r="O251">
        <v>15.75</v>
      </c>
      <c r="P251">
        <v>0.85</v>
      </c>
      <c r="Q251">
        <v>1</v>
      </c>
      <c r="R251">
        <v>9.6289411764705886</v>
      </c>
      <c r="S251">
        <v>0.21928724999999999</v>
      </c>
      <c r="T251">
        <v>0.78437362499999985</v>
      </c>
      <c r="U251">
        <v>0.48917925000000001</v>
      </c>
      <c r="V251">
        <v>0.15603131249999996</v>
      </c>
      <c r="W251">
        <v>0.13494599999999998</v>
      </c>
      <c r="X251">
        <v>6.3</v>
      </c>
      <c r="Y251">
        <v>0.183</v>
      </c>
      <c r="Z251">
        <v>0.41699999999999993</v>
      </c>
      <c r="AA251">
        <v>0</v>
      </c>
      <c r="AB251">
        <v>0.10964362499999998</v>
      </c>
      <c r="AC251">
        <v>0</v>
      </c>
      <c r="AD251">
        <v>0</v>
      </c>
      <c r="AE251">
        <v>0</v>
      </c>
      <c r="AG251">
        <f t="array" ref="AG251:AH251">T1T2(T251,S251,V251,X251,Y251)</f>
        <v>1.7211814840830031</v>
      </c>
      <c r="AH251">
        <v>0.13324586901585866</v>
      </c>
      <c r="AJ251">
        <f t="array" ref="AJ251:AM251">Canay(T251,AB251,S251,V251,AG251,AH251)</f>
        <v>0.14396282575482211</v>
      </c>
      <c r="AK251">
        <v>0.14755498899002409</v>
      </c>
      <c r="AL251">
        <v>0.97240048249136268</v>
      </c>
      <c r="AM251">
        <v>7.5197944905684017E-2</v>
      </c>
      <c r="AO251" s="1">
        <f t="array" ref="AO251:AR251">Niipt(T251,AB251,S251,V251,X251,Y251)</f>
        <v>0.14194124954799556</v>
      </c>
      <c r="AP251" s="1">
        <v>0.13091776119402984</v>
      </c>
      <c r="AQ251" s="1">
        <v>0.93564352354674252</v>
      </c>
      <c r="AR251" s="1">
        <v>8.0405324999999916E-2</v>
      </c>
      <c r="AT251" s="1">
        <f t="shared" si="13"/>
        <v>1.404234875376388</v>
      </c>
      <c r="AU251" s="1">
        <f t="shared" si="14"/>
        <v>11.275272974415699</v>
      </c>
      <c r="AV251" s="1">
        <f t="shared" si="15"/>
        <v>3.7800226970729276</v>
      </c>
      <c r="AW251" s="1">
        <f t="shared" si="16"/>
        <v>-6.9248968184531972</v>
      </c>
    </row>
    <row r="252" spans="1:49" x14ac:dyDescent="0.25">
      <c r="A252" t="s">
        <v>31</v>
      </c>
      <c r="B252" t="s">
        <v>31</v>
      </c>
      <c r="C252">
        <v>60521007</v>
      </c>
      <c r="D252" t="s">
        <v>284</v>
      </c>
      <c r="E252">
        <v>60521007</v>
      </c>
      <c r="F252" t="s">
        <v>34</v>
      </c>
      <c r="G252">
        <v>0</v>
      </c>
      <c r="H252">
        <v>1</v>
      </c>
      <c r="I252">
        <v>60521007</v>
      </c>
      <c r="J252">
        <v>0</v>
      </c>
      <c r="K252">
        <v>0</v>
      </c>
      <c r="L252">
        <v>407.74</v>
      </c>
      <c r="M252">
        <v>38.675293425285901</v>
      </c>
      <c r="N252">
        <v>500</v>
      </c>
      <c r="O252">
        <v>15.75</v>
      </c>
      <c r="P252">
        <v>0.85</v>
      </c>
      <c r="Q252">
        <v>1</v>
      </c>
      <c r="R252">
        <v>9.6289411764705886</v>
      </c>
      <c r="S252">
        <v>0.21928724999999999</v>
      </c>
      <c r="T252">
        <v>0.78437362499999985</v>
      </c>
      <c r="U252">
        <v>0.48917925000000001</v>
      </c>
      <c r="V252">
        <v>0.15603131249999996</v>
      </c>
      <c r="W252">
        <v>0.13494599999999998</v>
      </c>
      <c r="X252">
        <v>6.3</v>
      </c>
      <c r="Y252">
        <v>0.183</v>
      </c>
      <c r="Z252">
        <v>0.41699999999999993</v>
      </c>
      <c r="AA252">
        <v>0</v>
      </c>
      <c r="AB252">
        <v>0.10964362499999998</v>
      </c>
      <c r="AC252">
        <v>0</v>
      </c>
      <c r="AD252">
        <v>0</v>
      </c>
      <c r="AE252">
        <v>0</v>
      </c>
      <c r="AG252">
        <f t="array" ref="AG252:AH252">T1T2(T252,S252,V252,X252,Y252)</f>
        <v>1.7211814840830031</v>
      </c>
      <c r="AH252">
        <v>0.13324586901585866</v>
      </c>
      <c r="AJ252">
        <f t="array" ref="AJ252:AM252">Canay(T252,AB252,S252,V252,AG252,AH252)</f>
        <v>0.14396282575482211</v>
      </c>
      <c r="AK252">
        <v>0.14755498899002409</v>
      </c>
      <c r="AL252">
        <v>0.97240048249136268</v>
      </c>
      <c r="AM252">
        <v>7.5197944905684017E-2</v>
      </c>
      <c r="AO252" s="1">
        <f t="array" ref="AO252:AR252">Niipt(T252,AB252,S252,V252,X252,Y252)</f>
        <v>0.14194124954799556</v>
      </c>
      <c r="AP252" s="1">
        <v>0.13091776119402984</v>
      </c>
      <c r="AQ252" s="1">
        <v>0.93564352354674252</v>
      </c>
      <c r="AR252" s="1">
        <v>8.0405324999999916E-2</v>
      </c>
      <c r="AT252" s="1">
        <f t="shared" si="13"/>
        <v>1.404234875376388</v>
      </c>
      <c r="AU252" s="1">
        <f t="shared" si="14"/>
        <v>11.275272974415699</v>
      </c>
      <c r="AV252" s="1">
        <f t="shared" si="15"/>
        <v>3.7800226970729276</v>
      </c>
      <c r="AW252" s="1">
        <f t="shared" si="16"/>
        <v>-6.9248968184531972</v>
      </c>
    </row>
    <row r="253" spans="1:49" x14ac:dyDescent="0.25">
      <c r="A253" t="s">
        <v>31</v>
      </c>
      <c r="B253" t="s">
        <v>32</v>
      </c>
      <c r="C253">
        <v>60521003</v>
      </c>
      <c r="D253" t="s">
        <v>285</v>
      </c>
      <c r="E253">
        <v>60521003</v>
      </c>
      <c r="F253" t="s">
        <v>34</v>
      </c>
      <c r="G253">
        <v>0</v>
      </c>
      <c r="H253">
        <v>1</v>
      </c>
      <c r="I253">
        <v>60521003</v>
      </c>
      <c r="J253">
        <v>0</v>
      </c>
      <c r="K253">
        <v>0</v>
      </c>
      <c r="L253">
        <v>0</v>
      </c>
      <c r="M253">
        <v>0</v>
      </c>
      <c r="N253">
        <v>500</v>
      </c>
      <c r="O253">
        <v>15.75</v>
      </c>
      <c r="P253">
        <v>0.85</v>
      </c>
      <c r="Q253">
        <v>1</v>
      </c>
      <c r="R253">
        <v>9.6289411764705886</v>
      </c>
      <c r="S253">
        <v>0.21928724999999999</v>
      </c>
      <c r="T253">
        <v>0.78437362499999985</v>
      </c>
      <c r="U253">
        <v>0.48917925000000001</v>
      </c>
      <c r="V253">
        <v>0.15603131249999996</v>
      </c>
      <c r="W253">
        <v>0.13494599999999998</v>
      </c>
      <c r="X253">
        <v>6.3</v>
      </c>
      <c r="Y253">
        <v>0.183</v>
      </c>
      <c r="Z253">
        <v>0.41699999999999993</v>
      </c>
      <c r="AA253">
        <v>0</v>
      </c>
      <c r="AB253">
        <v>0.10964362499999998</v>
      </c>
      <c r="AC253">
        <v>0</v>
      </c>
      <c r="AD253">
        <v>0</v>
      </c>
      <c r="AE253">
        <v>0</v>
      </c>
      <c r="AG253">
        <f t="array" ref="AG253:AH253">T1T2(T253,S253,V253,X253,Y253)</f>
        <v>1.7211814840830031</v>
      </c>
      <c r="AH253">
        <v>0.13324586901585866</v>
      </c>
      <c r="AJ253">
        <f t="array" ref="AJ253:AM253">Canay(T253,AB253,S253,V253,AG253,AH253)</f>
        <v>0.14396282575482211</v>
      </c>
      <c r="AK253">
        <v>0.14755498899002409</v>
      </c>
      <c r="AL253">
        <v>0.97240048249136268</v>
      </c>
      <c r="AM253">
        <v>7.5197944905684017E-2</v>
      </c>
      <c r="AO253" s="1">
        <f t="array" ref="AO253:AR253">Niipt(T253,AB253,S253,V253,X253,Y253)</f>
        <v>0.14194124954799556</v>
      </c>
      <c r="AP253" s="1">
        <v>0.13091776119402984</v>
      </c>
      <c r="AQ253" s="1">
        <v>0.93564352354674252</v>
      </c>
      <c r="AR253" s="1">
        <v>8.0405324999999916E-2</v>
      </c>
      <c r="AT253" s="1">
        <f t="shared" si="13"/>
        <v>1.404234875376388</v>
      </c>
      <c r="AU253" s="1">
        <f t="shared" si="14"/>
        <v>11.275272974415699</v>
      </c>
      <c r="AV253" s="1">
        <f t="shared" si="15"/>
        <v>3.7800226970729276</v>
      </c>
      <c r="AW253" s="1">
        <f t="shared" si="16"/>
        <v>-6.9248968184531972</v>
      </c>
    </row>
    <row r="254" spans="1:49" x14ac:dyDescent="0.25">
      <c r="A254" t="s">
        <v>31</v>
      </c>
      <c r="B254" t="s">
        <v>31</v>
      </c>
      <c r="C254">
        <v>60521011</v>
      </c>
      <c r="D254" t="s">
        <v>286</v>
      </c>
      <c r="E254">
        <v>60521011</v>
      </c>
      <c r="F254" t="s">
        <v>34</v>
      </c>
      <c r="G254">
        <v>0</v>
      </c>
      <c r="H254">
        <v>1</v>
      </c>
      <c r="I254">
        <v>60521011</v>
      </c>
      <c r="J254">
        <v>0</v>
      </c>
      <c r="K254">
        <v>0</v>
      </c>
      <c r="L254">
        <v>413.87</v>
      </c>
      <c r="M254">
        <v>38.835502307911696</v>
      </c>
      <c r="N254">
        <v>500</v>
      </c>
      <c r="O254">
        <v>15.75</v>
      </c>
      <c r="P254">
        <v>0.85</v>
      </c>
      <c r="Q254">
        <v>1</v>
      </c>
      <c r="R254">
        <v>9.6289411764705886</v>
      </c>
      <c r="S254">
        <v>0.21928724999999999</v>
      </c>
      <c r="T254">
        <v>0.78437362499999985</v>
      </c>
      <c r="U254">
        <v>0.48917925000000001</v>
      </c>
      <c r="V254">
        <v>0.15603131249999996</v>
      </c>
      <c r="W254">
        <v>0.13494599999999998</v>
      </c>
      <c r="X254">
        <v>6.3</v>
      </c>
      <c r="Y254">
        <v>0.183</v>
      </c>
      <c r="Z254">
        <v>0.41699999999999993</v>
      </c>
      <c r="AA254">
        <v>0</v>
      </c>
      <c r="AB254">
        <v>0.10964362499999998</v>
      </c>
      <c r="AC254">
        <v>0</v>
      </c>
      <c r="AD254">
        <v>0</v>
      </c>
      <c r="AE254">
        <v>0</v>
      </c>
      <c r="AG254">
        <f t="array" ref="AG254:AH254">T1T2(T254,S254,V254,X254,Y254)</f>
        <v>1.7211814840830031</v>
      </c>
      <c r="AH254">
        <v>0.13324586901585866</v>
      </c>
      <c r="AJ254">
        <f t="array" ref="AJ254:AM254">Canay(T254,AB254,S254,V254,AG254,AH254)</f>
        <v>0.14396282575482211</v>
      </c>
      <c r="AK254">
        <v>0.14755498899002409</v>
      </c>
      <c r="AL254">
        <v>0.97240048249136268</v>
      </c>
      <c r="AM254">
        <v>7.5197944905684017E-2</v>
      </c>
      <c r="AO254" s="1">
        <f t="array" ref="AO254:AR254">Niipt(T254,AB254,S254,V254,X254,Y254)</f>
        <v>0.14194124954799556</v>
      </c>
      <c r="AP254" s="1">
        <v>0.13091776119402984</v>
      </c>
      <c r="AQ254" s="1">
        <v>0.93564352354674252</v>
      </c>
      <c r="AR254" s="1">
        <v>8.0405324999999916E-2</v>
      </c>
      <c r="AT254" s="1">
        <f t="shared" si="13"/>
        <v>1.404234875376388</v>
      </c>
      <c r="AU254" s="1">
        <f t="shared" si="14"/>
        <v>11.275272974415699</v>
      </c>
      <c r="AV254" s="1">
        <f t="shared" si="15"/>
        <v>3.7800226970729276</v>
      </c>
      <c r="AW254" s="1">
        <f t="shared" si="16"/>
        <v>-6.9248968184531972</v>
      </c>
    </row>
    <row r="255" spans="1:49" x14ac:dyDescent="0.25">
      <c r="A255" t="s">
        <v>31</v>
      </c>
      <c r="B255" t="s">
        <v>32</v>
      </c>
      <c r="C255">
        <v>60521004</v>
      </c>
      <c r="D255" t="s">
        <v>287</v>
      </c>
      <c r="E255">
        <v>60521004</v>
      </c>
      <c r="F255" t="s">
        <v>34</v>
      </c>
      <c r="G255">
        <v>0</v>
      </c>
      <c r="H255">
        <v>1</v>
      </c>
      <c r="I255">
        <v>60521004</v>
      </c>
      <c r="J255">
        <v>0</v>
      </c>
      <c r="K255">
        <v>0</v>
      </c>
      <c r="L255">
        <v>0</v>
      </c>
      <c r="M255">
        <v>0</v>
      </c>
      <c r="N255">
        <v>500</v>
      </c>
      <c r="O255">
        <v>15.75</v>
      </c>
      <c r="P255">
        <v>0.85</v>
      </c>
      <c r="Q255">
        <v>1</v>
      </c>
      <c r="R255">
        <v>9.6289411764705886</v>
      </c>
      <c r="S255">
        <v>0.21928724999999999</v>
      </c>
      <c r="T255">
        <v>0.78437362499999985</v>
      </c>
      <c r="U255">
        <v>0.48917925000000001</v>
      </c>
      <c r="V255">
        <v>0.15603131249999996</v>
      </c>
      <c r="W255">
        <v>0.13494599999999998</v>
      </c>
      <c r="X255">
        <v>6.3</v>
      </c>
      <c r="Y255">
        <v>0.183</v>
      </c>
      <c r="Z255">
        <v>0.41699999999999993</v>
      </c>
      <c r="AA255">
        <v>0</v>
      </c>
      <c r="AB255">
        <v>0.10964362499999998</v>
      </c>
      <c r="AC255">
        <v>0</v>
      </c>
      <c r="AD255">
        <v>0</v>
      </c>
      <c r="AE255">
        <v>0</v>
      </c>
      <c r="AG255">
        <f t="array" ref="AG255:AH255">T1T2(T255,S255,V255,X255,Y255)</f>
        <v>1.7211814840830031</v>
      </c>
      <c r="AH255">
        <v>0.13324586901585866</v>
      </c>
      <c r="AJ255">
        <f t="array" ref="AJ255:AM255">Canay(T255,AB255,S255,V255,AG255,AH255)</f>
        <v>0.14396282575482211</v>
      </c>
      <c r="AK255">
        <v>0.14755498899002409</v>
      </c>
      <c r="AL255">
        <v>0.97240048249136268</v>
      </c>
      <c r="AM255">
        <v>7.5197944905684017E-2</v>
      </c>
      <c r="AO255" s="1">
        <f t="array" ref="AO255:AR255">Niipt(T255,AB255,S255,V255,X255,Y255)</f>
        <v>0.14194124954799556</v>
      </c>
      <c r="AP255" s="1">
        <v>0.13091776119402984</v>
      </c>
      <c r="AQ255" s="1">
        <v>0.93564352354674252</v>
      </c>
      <c r="AR255" s="1">
        <v>8.0405324999999916E-2</v>
      </c>
      <c r="AT255" s="1">
        <f t="shared" si="13"/>
        <v>1.404234875376388</v>
      </c>
      <c r="AU255" s="1">
        <f t="shared" si="14"/>
        <v>11.275272974415699</v>
      </c>
      <c r="AV255" s="1">
        <f t="shared" si="15"/>
        <v>3.7800226970729276</v>
      </c>
      <c r="AW255" s="1">
        <f t="shared" si="16"/>
        <v>-6.9248968184531972</v>
      </c>
    </row>
    <row r="256" spans="1:49" x14ac:dyDescent="0.25">
      <c r="A256" t="s">
        <v>31</v>
      </c>
      <c r="B256" t="s">
        <v>31</v>
      </c>
      <c r="C256">
        <v>60517007</v>
      </c>
      <c r="D256" t="s">
        <v>288</v>
      </c>
      <c r="E256">
        <v>60517007</v>
      </c>
      <c r="F256" t="s">
        <v>34</v>
      </c>
      <c r="G256">
        <v>0</v>
      </c>
      <c r="H256">
        <v>1</v>
      </c>
      <c r="I256">
        <v>60517007</v>
      </c>
      <c r="J256">
        <v>0</v>
      </c>
      <c r="K256">
        <v>0</v>
      </c>
      <c r="L256">
        <v>24.19</v>
      </c>
      <c r="M256">
        <v>10.6716254662241</v>
      </c>
      <c r="N256">
        <v>25</v>
      </c>
      <c r="O256">
        <v>6.3</v>
      </c>
      <c r="P256">
        <v>0.8</v>
      </c>
      <c r="Q256">
        <v>1</v>
      </c>
      <c r="R256">
        <v>8.4249999999999989</v>
      </c>
      <c r="S256">
        <v>0.25782623999999993</v>
      </c>
      <c r="T256">
        <v>2.4766560000000002</v>
      </c>
      <c r="U256">
        <v>2.4766560000000002</v>
      </c>
      <c r="V256">
        <v>0.16257024</v>
      </c>
      <c r="W256">
        <v>0.16384031999999998</v>
      </c>
      <c r="X256">
        <v>10.199999999999998</v>
      </c>
      <c r="Y256">
        <v>0.2</v>
      </c>
      <c r="Z256">
        <v>0.5</v>
      </c>
      <c r="AA256">
        <v>0</v>
      </c>
      <c r="AB256">
        <v>0.12616974719999999</v>
      </c>
      <c r="AC256">
        <v>0</v>
      </c>
      <c r="AD256">
        <v>0</v>
      </c>
      <c r="AE256">
        <v>0</v>
      </c>
      <c r="AG256">
        <f t="array" ref="AG256:AH256">T1T2(T256,S256,V256,X256,Y256)</f>
        <v>0.98926201648942491</v>
      </c>
      <c r="AH256">
        <v>0.13536119862651544</v>
      </c>
      <c r="AJ256">
        <f t="array" ref="AJ256:AM256">Canay(T256,AB256,S256,V256,AG256,AH256)</f>
        <v>0.33922259146232442</v>
      </c>
      <c r="AK256">
        <v>0.19385022097117816</v>
      </c>
      <c r="AL256">
        <v>0.82640694275384918</v>
      </c>
      <c r="AM256">
        <v>4.5686947201789938E-2</v>
      </c>
      <c r="AO256" s="1">
        <f t="array" ref="AO256:AR256">Niipt(T256,AB256,S256,V256,X256,Y256)</f>
        <v>0.44834582900156006</v>
      </c>
      <c r="AP256" s="1">
        <v>0.1394684630596725</v>
      </c>
      <c r="AQ256" s="1">
        <v>0.49538216900291504</v>
      </c>
      <c r="AR256" s="1">
        <v>5.031033444864004E-2</v>
      </c>
      <c r="AT256" s="1">
        <f t="shared" si="13"/>
        <v>-32.168623283262477</v>
      </c>
      <c r="AU256" s="1">
        <f t="shared" si="14"/>
        <v>28.053492866325485</v>
      </c>
      <c r="AV256" s="1">
        <f t="shared" si="15"/>
        <v>40.055904255578369</v>
      </c>
      <c r="AW256" s="1">
        <f t="shared" si="16"/>
        <v>-10.119711493152613</v>
      </c>
    </row>
    <row r="257" spans="1:49" x14ac:dyDescent="0.25">
      <c r="A257" t="s">
        <v>31</v>
      </c>
      <c r="B257" t="s">
        <v>32</v>
      </c>
      <c r="C257">
        <v>60517008</v>
      </c>
      <c r="D257" t="s">
        <v>289</v>
      </c>
      <c r="E257">
        <v>60517008</v>
      </c>
      <c r="F257" t="s">
        <v>34</v>
      </c>
      <c r="G257">
        <v>0</v>
      </c>
      <c r="H257">
        <v>1</v>
      </c>
      <c r="I257">
        <v>60517008</v>
      </c>
      <c r="J257">
        <v>0</v>
      </c>
      <c r="K257">
        <v>0</v>
      </c>
      <c r="L257">
        <v>0</v>
      </c>
      <c r="M257">
        <v>0</v>
      </c>
      <c r="N257">
        <v>25</v>
      </c>
      <c r="O257">
        <v>6.3</v>
      </c>
      <c r="P257">
        <v>0.8</v>
      </c>
      <c r="Q257">
        <v>1</v>
      </c>
      <c r="R257">
        <v>8.4249999999999989</v>
      </c>
      <c r="S257">
        <v>0.25782623999999993</v>
      </c>
      <c r="T257">
        <v>2.4766560000000002</v>
      </c>
      <c r="U257">
        <v>2.4766560000000002</v>
      </c>
      <c r="V257">
        <v>0.16257024</v>
      </c>
      <c r="W257">
        <v>0.16384031999999998</v>
      </c>
      <c r="X257">
        <v>10.199999999999998</v>
      </c>
      <c r="Y257">
        <v>0.2</v>
      </c>
      <c r="Z257">
        <v>0.5</v>
      </c>
      <c r="AA257">
        <v>0</v>
      </c>
      <c r="AB257">
        <v>0.12616974719999999</v>
      </c>
      <c r="AC257">
        <v>0</v>
      </c>
      <c r="AD257">
        <v>0</v>
      </c>
      <c r="AE257">
        <v>0</v>
      </c>
      <c r="AG257">
        <f t="array" ref="AG257:AH257">T1T2(T257,S257,V257,X257,Y257)</f>
        <v>0.98926201648942491</v>
      </c>
      <c r="AH257">
        <v>0.13536119862651544</v>
      </c>
      <c r="AJ257">
        <f t="array" ref="AJ257:AM257">Canay(T257,AB257,S257,V257,AG257,AH257)</f>
        <v>0.33922259146232442</v>
      </c>
      <c r="AK257">
        <v>0.19385022097117816</v>
      </c>
      <c r="AL257">
        <v>0.82640694275384918</v>
      </c>
      <c r="AM257">
        <v>4.5686947201789938E-2</v>
      </c>
      <c r="AO257" s="1">
        <f t="array" ref="AO257:AR257">Niipt(T257,AB257,S257,V257,X257,Y257)</f>
        <v>0.44834582900156006</v>
      </c>
      <c r="AP257" s="1">
        <v>0.1394684630596725</v>
      </c>
      <c r="AQ257" s="1">
        <v>0.49538216900291504</v>
      </c>
      <c r="AR257" s="1">
        <v>5.031033444864004E-2</v>
      </c>
      <c r="AT257" s="1">
        <f t="shared" si="13"/>
        <v>-32.168623283262477</v>
      </c>
      <c r="AU257" s="1">
        <f t="shared" si="14"/>
        <v>28.053492866325485</v>
      </c>
      <c r="AV257" s="1">
        <f t="shared" si="15"/>
        <v>40.055904255578369</v>
      </c>
      <c r="AW257" s="1">
        <f t="shared" si="16"/>
        <v>-10.119711493152613</v>
      </c>
    </row>
    <row r="258" spans="1:49" x14ac:dyDescent="0.25">
      <c r="A258" t="s">
        <v>31</v>
      </c>
      <c r="B258" t="s">
        <v>31</v>
      </c>
      <c r="C258">
        <v>60517009</v>
      </c>
      <c r="D258" t="s">
        <v>290</v>
      </c>
      <c r="E258">
        <v>60517009</v>
      </c>
      <c r="F258" t="s">
        <v>34</v>
      </c>
      <c r="G258">
        <v>0</v>
      </c>
      <c r="H258">
        <v>1</v>
      </c>
      <c r="I258">
        <v>60517009</v>
      </c>
      <c r="J258">
        <v>0</v>
      </c>
      <c r="K258">
        <v>0</v>
      </c>
      <c r="L258">
        <v>20.48</v>
      </c>
      <c r="M258">
        <v>6.2468792373373487</v>
      </c>
      <c r="N258">
        <v>25</v>
      </c>
      <c r="O258">
        <v>6.3</v>
      </c>
      <c r="P258">
        <v>0.8</v>
      </c>
      <c r="Q258">
        <v>1</v>
      </c>
      <c r="R258">
        <v>8.4249999999999989</v>
      </c>
      <c r="S258">
        <v>0.25782623999999993</v>
      </c>
      <c r="T258">
        <v>2.4766560000000002</v>
      </c>
      <c r="U258">
        <v>2.4766560000000002</v>
      </c>
      <c r="V258">
        <v>0.16257024</v>
      </c>
      <c r="W258">
        <v>0.16384031999999998</v>
      </c>
      <c r="X258">
        <v>10.199999999999998</v>
      </c>
      <c r="Y258">
        <v>0.2</v>
      </c>
      <c r="Z258">
        <v>0.5</v>
      </c>
      <c r="AA258">
        <v>0</v>
      </c>
      <c r="AB258">
        <v>0.12616974719999999</v>
      </c>
      <c r="AC258">
        <v>0</v>
      </c>
      <c r="AD258">
        <v>0</v>
      </c>
      <c r="AE258">
        <v>0</v>
      </c>
      <c r="AG258">
        <f t="array" ref="AG258:AH258">T1T2(T258,S258,V258,X258,Y258)</f>
        <v>0.98926201648942491</v>
      </c>
      <c r="AH258">
        <v>0.13536119862651544</v>
      </c>
      <c r="AJ258">
        <f t="array" ref="AJ258:AM258">Canay(T258,AB258,S258,V258,AG258,AH258)</f>
        <v>0.33922259146232442</v>
      </c>
      <c r="AK258">
        <v>0.19385022097117816</v>
      </c>
      <c r="AL258">
        <v>0.82640694275384918</v>
      </c>
      <c r="AM258">
        <v>4.5686947201789938E-2</v>
      </c>
      <c r="AO258" s="1">
        <f t="array" ref="AO258:AR258">Niipt(T258,AB258,S258,V258,X258,Y258)</f>
        <v>0.44834582900156006</v>
      </c>
      <c r="AP258" s="1">
        <v>0.1394684630596725</v>
      </c>
      <c r="AQ258" s="1">
        <v>0.49538216900291504</v>
      </c>
      <c r="AR258" s="1">
        <v>5.031033444864004E-2</v>
      </c>
      <c r="AT258" s="1">
        <f t="shared" si="13"/>
        <v>-32.168623283262477</v>
      </c>
      <c r="AU258" s="1">
        <f t="shared" si="14"/>
        <v>28.053492866325485</v>
      </c>
      <c r="AV258" s="1">
        <f t="shared" si="15"/>
        <v>40.055904255578369</v>
      </c>
      <c r="AW258" s="1">
        <f t="shared" si="16"/>
        <v>-10.119711493152613</v>
      </c>
    </row>
    <row r="259" spans="1:49" x14ac:dyDescent="0.25">
      <c r="A259" t="s">
        <v>31</v>
      </c>
      <c r="B259" t="s">
        <v>31</v>
      </c>
      <c r="C259">
        <v>60517010</v>
      </c>
      <c r="D259" t="s">
        <v>291</v>
      </c>
      <c r="E259">
        <v>60517010</v>
      </c>
      <c r="F259" t="s">
        <v>34</v>
      </c>
      <c r="G259">
        <v>0</v>
      </c>
      <c r="H259">
        <v>1</v>
      </c>
      <c r="I259">
        <v>60517010</v>
      </c>
      <c r="J259">
        <v>0</v>
      </c>
      <c r="K259">
        <v>0</v>
      </c>
      <c r="L259">
        <v>18.079999999999995</v>
      </c>
      <c r="M259">
        <v>13.012522931736997</v>
      </c>
      <c r="N259">
        <v>25</v>
      </c>
      <c r="O259">
        <v>6.3</v>
      </c>
      <c r="P259">
        <v>0.8</v>
      </c>
      <c r="Q259">
        <v>1</v>
      </c>
      <c r="R259">
        <v>8.4249999999999989</v>
      </c>
      <c r="S259">
        <v>0.25782623999999993</v>
      </c>
      <c r="T259">
        <v>2.4766560000000002</v>
      </c>
      <c r="U259">
        <v>2.4766560000000002</v>
      </c>
      <c r="V259">
        <v>0.16257024</v>
      </c>
      <c r="W259">
        <v>0.16384031999999998</v>
      </c>
      <c r="X259">
        <v>10.199999999999998</v>
      </c>
      <c r="Y259">
        <v>0.2</v>
      </c>
      <c r="Z259">
        <v>0.5</v>
      </c>
      <c r="AA259">
        <v>0</v>
      </c>
      <c r="AB259">
        <v>0.12616974719999999</v>
      </c>
      <c r="AC259">
        <v>0</v>
      </c>
      <c r="AD259">
        <v>0</v>
      </c>
      <c r="AE259">
        <v>0</v>
      </c>
      <c r="AG259">
        <f t="array" ref="AG259:AH259">T1T2(T259,S259,V259,X259,Y259)</f>
        <v>0.98926201648942491</v>
      </c>
      <c r="AH259">
        <v>0.13536119862651544</v>
      </c>
      <c r="AJ259">
        <f t="array" ref="AJ259:AM259">Canay(T259,AB259,S259,V259,AG259,AH259)</f>
        <v>0.33922259146232442</v>
      </c>
      <c r="AK259">
        <v>0.19385022097117816</v>
      </c>
      <c r="AL259">
        <v>0.82640694275384918</v>
      </c>
      <c r="AM259">
        <v>4.5686947201789938E-2</v>
      </c>
      <c r="AO259" s="1">
        <f t="array" ref="AO259:AR259">Niipt(T259,AB259,S259,V259,X259,Y259)</f>
        <v>0.44834582900156006</v>
      </c>
      <c r="AP259" s="1">
        <v>0.1394684630596725</v>
      </c>
      <c r="AQ259" s="1">
        <v>0.49538216900291504</v>
      </c>
      <c r="AR259" s="1">
        <v>5.031033444864004E-2</v>
      </c>
      <c r="AT259" s="1">
        <f t="shared" ref="AT259:AT288" si="17">IF(AO259&gt;0,(AJ259-AO259)/AJ259*100,0)</f>
        <v>-32.168623283262477</v>
      </c>
      <c r="AU259" s="1">
        <f t="shared" si="14"/>
        <v>28.053492866325485</v>
      </c>
      <c r="AV259" s="1">
        <f t="shared" si="15"/>
        <v>40.055904255578369</v>
      </c>
      <c r="AW259" s="1">
        <f t="shared" si="16"/>
        <v>-10.119711493152613</v>
      </c>
    </row>
    <row r="260" spans="1:49" x14ac:dyDescent="0.25">
      <c r="A260" t="s">
        <v>31</v>
      </c>
      <c r="B260" t="s">
        <v>31</v>
      </c>
      <c r="C260">
        <v>60517011</v>
      </c>
      <c r="D260" t="s">
        <v>292</v>
      </c>
      <c r="E260">
        <v>60517011</v>
      </c>
      <c r="F260" t="s">
        <v>34</v>
      </c>
      <c r="G260">
        <v>0</v>
      </c>
      <c r="H260">
        <v>1</v>
      </c>
      <c r="I260">
        <v>60517011</v>
      </c>
      <c r="J260">
        <v>0</v>
      </c>
      <c r="K260">
        <v>0</v>
      </c>
      <c r="L260">
        <v>45.21</v>
      </c>
      <c r="M260">
        <v>22.916</v>
      </c>
      <c r="N260">
        <v>60</v>
      </c>
      <c r="O260">
        <v>10.5</v>
      </c>
      <c r="P260">
        <v>0.8</v>
      </c>
      <c r="Q260">
        <v>1</v>
      </c>
      <c r="R260">
        <v>9.3699999999999974</v>
      </c>
      <c r="S260">
        <v>0.35574</v>
      </c>
      <c r="T260">
        <v>2.94</v>
      </c>
      <c r="U260">
        <v>2.94</v>
      </c>
      <c r="V260">
        <v>0.23079</v>
      </c>
      <c r="W260">
        <v>0.23079</v>
      </c>
      <c r="X260">
        <v>11.7</v>
      </c>
      <c r="Y260">
        <v>0.161</v>
      </c>
      <c r="Z260">
        <v>0.5</v>
      </c>
      <c r="AA260">
        <v>0</v>
      </c>
      <c r="AB260">
        <v>0.20296143</v>
      </c>
      <c r="AC260">
        <v>0</v>
      </c>
      <c r="AD260">
        <v>0</v>
      </c>
      <c r="AE260">
        <v>0</v>
      </c>
      <c r="AG260">
        <f t="array" ref="AG260:AH260">T1T2(T260,S260,V260,X260,Y260)</f>
        <v>1.3633354583544952</v>
      </c>
      <c r="AH260">
        <v>0.10846226370322321</v>
      </c>
      <c r="AJ260">
        <f t="array" ref="AJ260:AM260">Canay(T260,AB260,S260,V260,AG260,AH260)</f>
        <v>0.31247202109001815</v>
      </c>
      <c r="AK260">
        <v>0.21027480868648551</v>
      </c>
      <c r="AL260">
        <v>1.140294004626784</v>
      </c>
      <c r="AM260">
        <v>3.2453567295693569E-2</v>
      </c>
      <c r="AO260" s="1">
        <f t="array" ref="AO260:AR260">Niipt(T260,AB260,S260,V260,X260,Y260)</f>
        <v>0.336332408083445</v>
      </c>
      <c r="AP260" s="1">
        <v>0.16181066872506827</v>
      </c>
      <c r="AQ260" s="1">
        <v>0.85473954228658655</v>
      </c>
      <c r="AR260" s="1">
        <v>3.4026483631411752E-2</v>
      </c>
      <c r="AT260" s="1">
        <f t="shared" si="17"/>
        <v>-7.6360075088300654</v>
      </c>
      <c r="AU260" s="1">
        <f t="shared" si="14"/>
        <v>23.048000977461861</v>
      </c>
      <c r="AV260" s="1">
        <f t="shared" si="15"/>
        <v>25.042178699664291</v>
      </c>
      <c r="AW260" s="1">
        <f t="shared" si="16"/>
        <v>-4.8466669977660715</v>
      </c>
    </row>
    <row r="261" spans="1:49" x14ac:dyDescent="0.25">
      <c r="A261" t="s">
        <v>31</v>
      </c>
      <c r="B261" t="s">
        <v>32</v>
      </c>
      <c r="C261">
        <v>60517012</v>
      </c>
      <c r="D261" t="s">
        <v>293</v>
      </c>
      <c r="E261">
        <v>60517012</v>
      </c>
      <c r="F261" t="s">
        <v>34</v>
      </c>
      <c r="G261">
        <v>0</v>
      </c>
      <c r="H261">
        <v>1</v>
      </c>
      <c r="I261">
        <v>60517012</v>
      </c>
      <c r="J261">
        <v>0</v>
      </c>
      <c r="K261">
        <v>0</v>
      </c>
      <c r="L261">
        <v>0</v>
      </c>
      <c r="M261">
        <v>0</v>
      </c>
      <c r="N261">
        <v>63</v>
      </c>
      <c r="O261">
        <v>10.5</v>
      </c>
      <c r="P261">
        <v>0.8</v>
      </c>
      <c r="Q261">
        <v>1</v>
      </c>
      <c r="R261">
        <v>5.58</v>
      </c>
      <c r="S261">
        <v>0.43120000000000003</v>
      </c>
      <c r="T261">
        <v>3.1639999999999997</v>
      </c>
      <c r="U261">
        <v>2.8420000000000001</v>
      </c>
      <c r="V261">
        <v>0.28699999999999998</v>
      </c>
      <c r="W261">
        <v>0.28699999999999998</v>
      </c>
      <c r="X261">
        <v>5.86</v>
      </c>
      <c r="Y261">
        <v>0.1</v>
      </c>
      <c r="Z261">
        <v>0.5</v>
      </c>
      <c r="AA261">
        <v>0</v>
      </c>
      <c r="AB261">
        <v>0.19329659999999999</v>
      </c>
      <c r="AC261">
        <v>0</v>
      </c>
      <c r="AD261">
        <v>0</v>
      </c>
      <c r="AE261">
        <v>0</v>
      </c>
      <c r="AG261">
        <f t="array" ref="AG261:AH261">T1T2(T261,S261,V261,X261,Y261)</f>
        <v>0.76804297705582536</v>
      </c>
      <c r="AH261">
        <v>6.9208193870085449E-2</v>
      </c>
      <c r="AJ261">
        <f t="array" ref="AJ261:AM261">Canay(T261,AB261,S261,V261,AG261,AH261)</f>
        <v>0.64153402452021024</v>
      </c>
      <c r="AK261">
        <v>0.29773501666227276</v>
      </c>
      <c r="AL261">
        <v>3.5988937296591552</v>
      </c>
      <c r="AM261">
        <v>0.14333507382130423</v>
      </c>
      <c r="AO261" s="1">
        <f t="array" ref="AO261:AR261">Niipt(T261,AB261,S261,V261,X261,Y261)</f>
        <v>0.64164413963681743</v>
      </c>
      <c r="AP261" s="1">
        <v>0.258614036611373</v>
      </c>
      <c r="AQ261" s="1">
        <v>3.3709703041326815</v>
      </c>
      <c r="AR261" s="1">
        <v>0.15459332490679603</v>
      </c>
      <c r="AT261" s="1">
        <f t="shared" si="17"/>
        <v>-1.7164345521586771E-2</v>
      </c>
      <c r="AU261" s="1">
        <f t="shared" si="14"/>
        <v>13.139529400828096</v>
      </c>
      <c r="AV261" s="1">
        <f t="shared" si="15"/>
        <v>6.3331524253721145</v>
      </c>
      <c r="AW261" s="1">
        <f t="shared" si="16"/>
        <v>-7.8544984038780781</v>
      </c>
    </row>
    <row r="262" spans="1:49" x14ac:dyDescent="0.25">
      <c r="A262" t="s">
        <v>31</v>
      </c>
      <c r="B262" t="s">
        <v>31</v>
      </c>
      <c r="C262">
        <v>60517013</v>
      </c>
      <c r="D262" t="s">
        <v>294</v>
      </c>
      <c r="E262">
        <v>60517013</v>
      </c>
      <c r="F262" t="s">
        <v>34</v>
      </c>
      <c r="G262">
        <v>0</v>
      </c>
      <c r="H262">
        <v>1</v>
      </c>
      <c r="I262">
        <v>60517013</v>
      </c>
      <c r="J262">
        <v>0</v>
      </c>
      <c r="K262">
        <v>0</v>
      </c>
      <c r="L262">
        <v>53.01</v>
      </c>
      <c r="M262">
        <v>29.215112063450999</v>
      </c>
      <c r="N262">
        <v>65</v>
      </c>
      <c r="O262">
        <v>10.5</v>
      </c>
      <c r="P262">
        <v>0.8</v>
      </c>
      <c r="Q262">
        <v>1</v>
      </c>
      <c r="R262">
        <v>5.41</v>
      </c>
      <c r="S262">
        <v>0.42471692307692294</v>
      </c>
      <c r="T262">
        <v>3.1914830769230802</v>
      </c>
      <c r="U262">
        <v>2.9852307692307698</v>
      </c>
      <c r="V262">
        <v>0.28359692307692297</v>
      </c>
      <c r="W262">
        <v>0.28359692307692297</v>
      </c>
      <c r="X262">
        <v>6.11</v>
      </c>
      <c r="Y262">
        <v>0.161</v>
      </c>
      <c r="Z262">
        <v>0.5</v>
      </c>
      <c r="AA262">
        <v>0</v>
      </c>
      <c r="AB262">
        <v>0.18734901230769196</v>
      </c>
      <c r="AC262">
        <v>0</v>
      </c>
      <c r="AD262">
        <v>0</v>
      </c>
      <c r="AE262">
        <v>0</v>
      </c>
      <c r="AG262">
        <f t="array" ref="AG262:AH262">T1T2(T262,S262,V262,X262,Y262)</f>
        <v>0.76220364116248407</v>
      </c>
      <c r="AH262">
        <v>0.11468458195642019</v>
      </c>
      <c r="AJ262">
        <f t="array" ref="AJ262:AM262">Canay(T262,AB262,S262,V262,AG262,AH262)</f>
        <v>0.69397123810142769</v>
      </c>
      <c r="AK262">
        <v>0.32894285536079454</v>
      </c>
      <c r="AL262">
        <v>2.1433515031857917</v>
      </c>
      <c r="AM262">
        <v>0.14251267788533178</v>
      </c>
      <c r="AO262" s="1">
        <f t="array" ref="AO262:AR262">Niipt(T262,AB262,S262,V262,X262,Y262)</f>
        <v>0.71523381102025418</v>
      </c>
      <c r="AP262" s="1">
        <v>0.2577323080221845</v>
      </c>
      <c r="AQ262" s="1">
        <v>1.8510003016383174</v>
      </c>
      <c r="AR262" s="1">
        <v>0.16189176229588811</v>
      </c>
      <c r="AT262" s="1">
        <f t="shared" si="17"/>
        <v>-3.0638982931045988</v>
      </c>
      <c r="AU262" s="1">
        <f t="shared" si="14"/>
        <v>21.648303399234539</v>
      </c>
      <c r="AV262" s="1">
        <f t="shared" si="15"/>
        <v>13.639909324855731</v>
      </c>
      <c r="AW262" s="1">
        <f t="shared" si="16"/>
        <v>-13.598147686305554</v>
      </c>
    </row>
    <row r="263" spans="1:49" x14ac:dyDescent="0.25">
      <c r="A263" t="s">
        <v>31</v>
      </c>
      <c r="B263" t="s">
        <v>31</v>
      </c>
      <c r="C263">
        <v>60517004</v>
      </c>
      <c r="D263" t="s">
        <v>295</v>
      </c>
      <c r="E263">
        <v>60517004</v>
      </c>
      <c r="F263" t="s">
        <v>34</v>
      </c>
      <c r="G263">
        <v>0</v>
      </c>
      <c r="H263">
        <v>1</v>
      </c>
      <c r="I263">
        <v>60517004</v>
      </c>
      <c r="J263">
        <v>0</v>
      </c>
      <c r="K263">
        <v>0</v>
      </c>
      <c r="L263">
        <v>85.8</v>
      </c>
      <c r="M263">
        <v>21.693863094004698</v>
      </c>
      <c r="N263">
        <v>120</v>
      </c>
      <c r="O263">
        <v>10.5</v>
      </c>
      <c r="P263">
        <v>0.8</v>
      </c>
      <c r="Q263">
        <v>1</v>
      </c>
      <c r="R263">
        <v>7.82</v>
      </c>
      <c r="S263">
        <v>0.20579999999999998</v>
      </c>
      <c r="T263">
        <v>1.3303499999999997</v>
      </c>
      <c r="U263">
        <v>1.3303499999999997</v>
      </c>
      <c r="V263">
        <v>0.1323</v>
      </c>
      <c r="W263">
        <v>0.14112</v>
      </c>
      <c r="X263">
        <v>6.2</v>
      </c>
      <c r="Y263">
        <v>0.12</v>
      </c>
      <c r="Z263">
        <v>0.5</v>
      </c>
      <c r="AA263">
        <v>0</v>
      </c>
      <c r="AB263">
        <v>0.101480715</v>
      </c>
      <c r="AC263">
        <v>0</v>
      </c>
      <c r="AD263">
        <v>0</v>
      </c>
      <c r="AE263">
        <v>0</v>
      </c>
      <c r="AG263">
        <f t="array" ref="AG263:AH263">T1T2(T263,S263,V263,X263,Y263)</f>
        <v>0.92059613703613441</v>
      </c>
      <c r="AH263">
        <v>8.0370693835899662E-2</v>
      </c>
      <c r="AJ263">
        <f t="array" ref="AJ263:AM263">Canay(T263,AB263,S263,V263,AG263,AH263)</f>
        <v>0.26166172556526468</v>
      </c>
      <c r="AK263">
        <v>0.13770269215130918</v>
      </c>
      <c r="AL263">
        <v>1.157260885577329</v>
      </c>
      <c r="AM263">
        <v>4.1031637554757819E-2</v>
      </c>
      <c r="AO263" s="1">
        <f t="array" ref="AO263:AR263">Niipt(T263,AB263,S263,V263,X263,Y263)</f>
        <v>0.2656540989432245</v>
      </c>
      <c r="AP263" s="1">
        <v>0.11399650097342154</v>
      </c>
      <c r="AQ263" s="1">
        <v>1.0059699700022806</v>
      </c>
      <c r="AR263" s="1">
        <v>4.3742119393350001E-2</v>
      </c>
      <c r="AT263" s="1">
        <f t="shared" si="17"/>
        <v>-1.5257765992848771</v>
      </c>
      <c r="AU263" s="1">
        <f t="shared" si="14"/>
        <v>17.215488533687505</v>
      </c>
      <c r="AV263" s="1">
        <f t="shared" si="15"/>
        <v>13.073190104370724</v>
      </c>
      <c r="AW263" s="1">
        <f t="shared" si="16"/>
        <v>-6.6058339372270289</v>
      </c>
    </row>
    <row r="264" spans="1:49" x14ac:dyDescent="0.25">
      <c r="A264" t="s">
        <v>31</v>
      </c>
      <c r="B264" t="s">
        <v>31</v>
      </c>
      <c r="C264">
        <v>60517005</v>
      </c>
      <c r="D264" t="s">
        <v>296</v>
      </c>
      <c r="E264">
        <v>60517005</v>
      </c>
      <c r="F264" t="s">
        <v>34</v>
      </c>
      <c r="G264">
        <v>0</v>
      </c>
      <c r="H264">
        <v>1</v>
      </c>
      <c r="I264">
        <v>60517005</v>
      </c>
      <c r="J264">
        <v>0</v>
      </c>
      <c r="K264">
        <v>0</v>
      </c>
      <c r="L264">
        <v>22.25</v>
      </c>
      <c r="M264">
        <v>19.954283208070198</v>
      </c>
      <c r="N264">
        <v>120</v>
      </c>
      <c r="O264">
        <v>10.5</v>
      </c>
      <c r="P264">
        <v>0.85</v>
      </c>
      <c r="Q264">
        <v>1</v>
      </c>
      <c r="R264">
        <v>6.51</v>
      </c>
      <c r="S264">
        <v>0.21710062499999996</v>
      </c>
      <c r="T264">
        <v>1.4915906249999997</v>
      </c>
      <c r="U264">
        <v>1.4915906249999997</v>
      </c>
      <c r="V264">
        <v>0.14993999999999999</v>
      </c>
      <c r="W264">
        <v>0.14993999999999999</v>
      </c>
      <c r="X264">
        <v>6.45</v>
      </c>
      <c r="Y264">
        <v>0.12</v>
      </c>
      <c r="Z264">
        <v>0.5</v>
      </c>
      <c r="AA264">
        <v>0</v>
      </c>
      <c r="AB264">
        <v>0.10782325968750001</v>
      </c>
      <c r="AC264">
        <v>0</v>
      </c>
      <c r="AD264">
        <v>0</v>
      </c>
      <c r="AE264">
        <v>0</v>
      </c>
      <c r="AG264">
        <f t="array" ref="AG264:AH264">T1T2(T264,S264,V264,X264,Y264)</f>
        <v>0.90525423824129692</v>
      </c>
      <c r="AH264">
        <v>8.5948490838609157E-2</v>
      </c>
      <c r="AJ264">
        <f t="array" ref="AJ264:AM264">Canay(T264,AB264,S264,V264,AG264,AH264)</f>
        <v>0.27704104203699997</v>
      </c>
      <c r="AK264">
        <v>0.1413856276111099</v>
      </c>
      <c r="AL264">
        <v>1.3583824697085438</v>
      </c>
      <c r="AM264">
        <v>6.2703754232066977E-2</v>
      </c>
      <c r="AO264" s="1">
        <f t="array" ref="AO264:AR264">Niipt(T264,AB264,S264,V264,X264,Y264)</f>
        <v>0.27827288739134304</v>
      </c>
      <c r="AP264" s="1">
        <v>0.11864702891883783</v>
      </c>
      <c r="AQ264" s="1">
        <v>1.2402909731220284</v>
      </c>
      <c r="AR264" s="1">
        <v>6.8528344054284124E-2</v>
      </c>
      <c r="AT264" s="1">
        <f t="shared" si="17"/>
        <v>-0.44464363304645166</v>
      </c>
      <c r="AU264" s="1">
        <f t="shared" si="14"/>
        <v>16.082680450955049</v>
      </c>
      <c r="AV264" s="1">
        <f t="shared" si="15"/>
        <v>8.6935380292306981</v>
      </c>
      <c r="AW264" s="1">
        <f t="shared" si="16"/>
        <v>-9.2890607485164356</v>
      </c>
    </row>
    <row r="265" spans="1:49" x14ac:dyDescent="0.25">
      <c r="A265" t="s">
        <v>31</v>
      </c>
      <c r="B265" t="s">
        <v>32</v>
      </c>
      <c r="C265">
        <v>60517014</v>
      </c>
      <c r="D265" t="s">
        <v>297</v>
      </c>
      <c r="E265">
        <v>60517014</v>
      </c>
      <c r="F265" t="s">
        <v>34</v>
      </c>
      <c r="G265">
        <v>0</v>
      </c>
      <c r="H265">
        <v>1</v>
      </c>
      <c r="I265">
        <v>60517014</v>
      </c>
      <c r="J265">
        <v>0</v>
      </c>
      <c r="K265">
        <v>0</v>
      </c>
      <c r="L265">
        <v>0</v>
      </c>
      <c r="M265">
        <v>0</v>
      </c>
      <c r="N265">
        <v>120</v>
      </c>
      <c r="O265">
        <v>10.5</v>
      </c>
      <c r="P265">
        <v>0.85</v>
      </c>
      <c r="Q265">
        <v>1</v>
      </c>
      <c r="R265">
        <v>6.51</v>
      </c>
      <c r="S265">
        <v>0.21710062499999996</v>
      </c>
      <c r="T265">
        <v>1.4915906249999997</v>
      </c>
      <c r="U265">
        <v>1.4915906249999997</v>
      </c>
      <c r="V265">
        <v>0.14993999999999999</v>
      </c>
      <c r="W265">
        <v>0.14993999999999999</v>
      </c>
      <c r="X265">
        <v>6.45</v>
      </c>
      <c r="Y265">
        <v>0.12</v>
      </c>
      <c r="Z265">
        <v>0.5</v>
      </c>
      <c r="AA265">
        <v>0</v>
      </c>
      <c r="AB265">
        <v>0.10782325968750001</v>
      </c>
      <c r="AC265">
        <v>0</v>
      </c>
      <c r="AD265">
        <v>0</v>
      </c>
      <c r="AE265">
        <v>0</v>
      </c>
      <c r="AG265">
        <f t="array" ref="AG265:AH265">T1T2(T265,S265,V265,X265,Y265)</f>
        <v>0.90525423824129692</v>
      </c>
      <c r="AH265">
        <v>8.5948490838609157E-2</v>
      </c>
      <c r="AJ265">
        <f t="array" ref="AJ265:AM265">Canay(T265,AB265,S265,V265,AG265,AH265)</f>
        <v>0.27704104203699997</v>
      </c>
      <c r="AK265">
        <v>0.1413856276111099</v>
      </c>
      <c r="AL265">
        <v>1.3583824697085438</v>
      </c>
      <c r="AM265">
        <v>6.2703754232066977E-2</v>
      </c>
      <c r="AO265" s="1">
        <f t="array" ref="AO265:AR265">Niipt(T265,AB265,S265,V265,X265,Y265)</f>
        <v>0.27827288739134304</v>
      </c>
      <c r="AP265" s="1">
        <v>0.11864702891883783</v>
      </c>
      <c r="AQ265" s="1">
        <v>1.2402909731220284</v>
      </c>
      <c r="AR265" s="1">
        <v>6.8528344054284124E-2</v>
      </c>
      <c r="AT265" s="1">
        <f t="shared" si="17"/>
        <v>-0.44464363304645166</v>
      </c>
      <c r="AU265" s="1">
        <f t="shared" si="14"/>
        <v>16.082680450955049</v>
      </c>
      <c r="AV265" s="1">
        <f t="shared" si="15"/>
        <v>8.6935380292306981</v>
      </c>
      <c r="AW265" s="1">
        <f t="shared" si="16"/>
        <v>-9.2890607485164356</v>
      </c>
    </row>
    <row r="266" spans="1:49" x14ac:dyDescent="0.25">
      <c r="A266" t="s">
        <v>31</v>
      </c>
      <c r="B266" t="s">
        <v>31</v>
      </c>
      <c r="C266">
        <v>60527082</v>
      </c>
      <c r="D266" t="s">
        <v>298</v>
      </c>
      <c r="E266">
        <v>60527082</v>
      </c>
      <c r="F266" t="s">
        <v>34</v>
      </c>
      <c r="G266">
        <v>0</v>
      </c>
      <c r="H266">
        <v>1</v>
      </c>
      <c r="I266">
        <v>60527082</v>
      </c>
      <c r="J266">
        <v>0</v>
      </c>
      <c r="K266">
        <v>0</v>
      </c>
      <c r="L266">
        <v>87.29</v>
      </c>
      <c r="M266">
        <v>18.7913722214312</v>
      </c>
      <c r="N266">
        <v>100</v>
      </c>
      <c r="O266">
        <v>10.5</v>
      </c>
      <c r="P266">
        <v>0.8</v>
      </c>
      <c r="Q266">
        <v>1</v>
      </c>
      <c r="R266">
        <v>8.0625</v>
      </c>
      <c r="S266">
        <v>0.245196</v>
      </c>
      <c r="T266">
        <v>1.6819740000000001</v>
      </c>
      <c r="U266">
        <v>1.6819740000000001</v>
      </c>
      <c r="V266">
        <v>0.16934399999999997</v>
      </c>
      <c r="W266">
        <v>0.16934399999999997</v>
      </c>
      <c r="X266">
        <v>6.45</v>
      </c>
      <c r="Y266">
        <v>0.18712000000000001</v>
      </c>
      <c r="Z266">
        <v>0.5</v>
      </c>
      <c r="AA266">
        <v>0</v>
      </c>
      <c r="AB266">
        <v>0.121776858</v>
      </c>
      <c r="AC266">
        <v>0</v>
      </c>
      <c r="AD266">
        <v>0</v>
      </c>
      <c r="AE266">
        <v>0</v>
      </c>
      <c r="AG266">
        <f t="array" ref="AG266:AH266">T1T2(T266,S266,V266,X266,Y266)</f>
        <v>0.88613797575399911</v>
      </c>
      <c r="AH266">
        <v>0.13712893726838768</v>
      </c>
      <c r="AJ266">
        <f t="array" ref="AJ266:AM266">Canay(T266,AB266,S266,V266,AG266,AH266)</f>
        <v>0.35579717273270073</v>
      </c>
      <c r="AK266">
        <v>0.18267488669988208</v>
      </c>
      <c r="AL266">
        <v>0.93595792674707501</v>
      </c>
      <c r="AM266">
        <v>6.7079138530820481E-2</v>
      </c>
      <c r="AO266" s="1">
        <f t="array" ref="AO266:AR266">Niipt(T266,AB266,S266,V266,X266,Y266)</f>
        <v>0.3850001883036922</v>
      </c>
      <c r="AP266" s="1">
        <v>0.13402083872142542</v>
      </c>
      <c r="AQ266" s="1">
        <v>0.73219444671296052</v>
      </c>
      <c r="AR266" s="1">
        <v>7.7396717990720815E-2</v>
      </c>
      <c r="AT266" s="1">
        <f t="shared" si="17"/>
        <v>-8.207770552727462</v>
      </c>
      <c r="AU266" s="1">
        <f t="shared" si="14"/>
        <v>26.634229180276296</v>
      </c>
      <c r="AV266" s="1">
        <f t="shared" si="15"/>
        <v>21.770581156601253</v>
      </c>
      <c r="AW266" s="1">
        <f t="shared" si="16"/>
        <v>-15.381204478587291</v>
      </c>
    </row>
    <row r="267" spans="1:49" x14ac:dyDescent="0.25">
      <c r="A267" t="s">
        <v>31</v>
      </c>
      <c r="B267" t="s">
        <v>31</v>
      </c>
      <c r="C267">
        <v>60527083</v>
      </c>
      <c r="D267" t="s">
        <v>299</v>
      </c>
      <c r="E267">
        <v>60527083</v>
      </c>
      <c r="F267" t="s">
        <v>34</v>
      </c>
      <c r="G267">
        <v>0</v>
      </c>
      <c r="H267">
        <v>1</v>
      </c>
      <c r="I267">
        <v>60527083</v>
      </c>
      <c r="J267">
        <v>0</v>
      </c>
      <c r="K267">
        <v>0</v>
      </c>
      <c r="L267">
        <v>102.4</v>
      </c>
      <c r="M267">
        <v>20.888494243982301</v>
      </c>
      <c r="N267">
        <v>100</v>
      </c>
      <c r="O267">
        <v>10.5</v>
      </c>
      <c r="P267">
        <v>0.8</v>
      </c>
      <c r="Q267">
        <v>1</v>
      </c>
      <c r="R267">
        <v>8.0625</v>
      </c>
      <c r="S267">
        <v>0.245196</v>
      </c>
      <c r="T267">
        <v>1.6819740000000001</v>
      </c>
      <c r="U267">
        <v>1.6819740000000001</v>
      </c>
      <c r="V267">
        <v>0.16934399999999997</v>
      </c>
      <c r="W267">
        <v>0.16934399999999997</v>
      </c>
      <c r="X267">
        <v>6.45</v>
      </c>
      <c r="Y267">
        <v>0.18712000000000001</v>
      </c>
      <c r="Z267">
        <v>0.5</v>
      </c>
      <c r="AA267">
        <v>0</v>
      </c>
      <c r="AB267">
        <v>0.121776858</v>
      </c>
      <c r="AC267">
        <v>0</v>
      </c>
      <c r="AD267">
        <v>0</v>
      </c>
      <c r="AE267">
        <v>0</v>
      </c>
      <c r="AG267">
        <f t="array" ref="AG267:AH267">T1T2(T267,S267,V267,X267,Y267)</f>
        <v>0.88613797575399911</v>
      </c>
      <c r="AH267">
        <v>0.13712893726838768</v>
      </c>
      <c r="AJ267">
        <f t="array" ref="AJ267:AM267">Canay(T267,AB267,S267,V267,AG267,AH267)</f>
        <v>0.35579717273270073</v>
      </c>
      <c r="AK267">
        <v>0.18267488669988208</v>
      </c>
      <c r="AL267">
        <v>0.93595792674707501</v>
      </c>
      <c r="AM267">
        <v>6.7079138530820481E-2</v>
      </c>
      <c r="AO267" s="1">
        <f t="array" ref="AO267:AR267">Niipt(T267,AB267,S267,V267,X267,Y267)</f>
        <v>0.3850001883036922</v>
      </c>
      <c r="AP267" s="1">
        <v>0.13402083872142542</v>
      </c>
      <c r="AQ267" s="1">
        <v>0.73219444671296052</v>
      </c>
      <c r="AR267" s="1">
        <v>7.7396717990720815E-2</v>
      </c>
      <c r="AT267" s="1">
        <f t="shared" si="17"/>
        <v>-8.207770552727462</v>
      </c>
      <c r="AU267" s="1">
        <f t="shared" si="14"/>
        <v>26.634229180276296</v>
      </c>
      <c r="AV267" s="1">
        <f t="shared" si="15"/>
        <v>21.770581156601253</v>
      </c>
      <c r="AW267" s="1">
        <f t="shared" si="16"/>
        <v>-15.381204478587291</v>
      </c>
    </row>
    <row r="268" spans="1:49" x14ac:dyDescent="0.25">
      <c r="A268" t="s">
        <v>31</v>
      </c>
      <c r="B268" t="s">
        <v>31</v>
      </c>
      <c r="C268">
        <v>60527084</v>
      </c>
      <c r="D268" t="s">
        <v>300</v>
      </c>
      <c r="E268">
        <v>60527084</v>
      </c>
      <c r="F268" t="s">
        <v>34</v>
      </c>
      <c r="G268">
        <v>0</v>
      </c>
      <c r="H268">
        <v>1</v>
      </c>
      <c r="I268">
        <v>60527084</v>
      </c>
      <c r="J268">
        <v>0</v>
      </c>
      <c r="K268">
        <v>0</v>
      </c>
      <c r="L268">
        <v>105.67</v>
      </c>
      <c r="M268">
        <v>15.154006801549601</v>
      </c>
      <c r="N268">
        <v>100</v>
      </c>
      <c r="O268">
        <v>10.5</v>
      </c>
      <c r="P268">
        <v>0.8</v>
      </c>
      <c r="Q268">
        <v>1</v>
      </c>
      <c r="R268">
        <v>8.0625</v>
      </c>
      <c r="S268">
        <v>0.245196</v>
      </c>
      <c r="T268">
        <v>1.6819740000000001</v>
      </c>
      <c r="U268">
        <v>1.6819740000000001</v>
      </c>
      <c r="V268">
        <v>0.16934399999999997</v>
      </c>
      <c r="W268">
        <v>0.16934399999999997</v>
      </c>
      <c r="X268">
        <v>6.45</v>
      </c>
      <c r="Y268">
        <v>0.18712000000000001</v>
      </c>
      <c r="Z268">
        <v>0.5</v>
      </c>
      <c r="AA268">
        <v>0</v>
      </c>
      <c r="AB268">
        <v>0.121776858</v>
      </c>
      <c r="AC268">
        <v>0</v>
      </c>
      <c r="AD268">
        <v>0</v>
      </c>
      <c r="AE268">
        <v>0</v>
      </c>
      <c r="AG268">
        <f t="array" ref="AG268:AH268">T1T2(T268,S268,V268,X268,Y268)</f>
        <v>0.88613797575399911</v>
      </c>
      <c r="AH268">
        <v>0.13712893726838768</v>
      </c>
      <c r="AJ268">
        <f t="array" ref="AJ268:AM268">Canay(T268,AB268,S268,V268,AG268,AH268)</f>
        <v>0.35579717273270073</v>
      </c>
      <c r="AK268">
        <v>0.18267488669988208</v>
      </c>
      <c r="AL268">
        <v>0.93595792674707501</v>
      </c>
      <c r="AM268">
        <v>6.7079138530820481E-2</v>
      </c>
      <c r="AO268" s="1">
        <f t="array" ref="AO268:AR268">Niipt(T268,AB268,S268,V268,X268,Y268)</f>
        <v>0.3850001883036922</v>
      </c>
      <c r="AP268" s="1">
        <v>0.13402083872142542</v>
      </c>
      <c r="AQ268" s="1">
        <v>0.73219444671296052</v>
      </c>
      <c r="AR268" s="1">
        <v>7.7396717990720815E-2</v>
      </c>
      <c r="AT268" s="1">
        <f t="shared" si="17"/>
        <v>-8.207770552727462</v>
      </c>
      <c r="AU268" s="1">
        <f t="shared" si="14"/>
        <v>26.634229180276296</v>
      </c>
      <c r="AV268" s="1">
        <f t="shared" si="15"/>
        <v>21.770581156601253</v>
      </c>
      <c r="AW268" s="1">
        <f t="shared" si="16"/>
        <v>-15.381204478587291</v>
      </c>
    </row>
    <row r="269" spans="1:49" x14ac:dyDescent="0.25">
      <c r="A269" t="s">
        <v>31</v>
      </c>
      <c r="B269" t="s">
        <v>31</v>
      </c>
      <c r="C269">
        <v>60527085</v>
      </c>
      <c r="D269" t="s">
        <v>301</v>
      </c>
      <c r="E269">
        <v>60527085</v>
      </c>
      <c r="F269" t="s">
        <v>34</v>
      </c>
      <c r="G269">
        <v>0</v>
      </c>
      <c r="H269">
        <v>1</v>
      </c>
      <c r="I269">
        <v>60527085</v>
      </c>
      <c r="J269">
        <v>0</v>
      </c>
      <c r="K269">
        <v>0</v>
      </c>
      <c r="L269">
        <v>134.47999999999999</v>
      </c>
      <c r="M269">
        <v>72.010303390496404</v>
      </c>
      <c r="N269">
        <v>160</v>
      </c>
      <c r="O269">
        <v>18</v>
      </c>
      <c r="P269">
        <v>0.85</v>
      </c>
      <c r="Q269">
        <v>1</v>
      </c>
      <c r="R269">
        <v>5.9058823529411804</v>
      </c>
      <c r="S269">
        <v>0.56629124999999991</v>
      </c>
      <c r="T269">
        <v>3.9588749999999995</v>
      </c>
      <c r="U269">
        <v>3.9588749999999995</v>
      </c>
      <c r="V269">
        <v>0.3958875</v>
      </c>
      <c r="W269">
        <v>0.3958875</v>
      </c>
      <c r="X269">
        <v>5.9</v>
      </c>
      <c r="Y269">
        <v>0.148869</v>
      </c>
      <c r="Z269">
        <v>0.5</v>
      </c>
      <c r="AA269">
        <v>0</v>
      </c>
      <c r="AB269">
        <v>0.23765126624999997</v>
      </c>
      <c r="AC269">
        <v>0</v>
      </c>
      <c r="AD269">
        <v>0</v>
      </c>
      <c r="AE269">
        <v>0</v>
      </c>
      <c r="AG269">
        <f t="array" ref="AG269:AH269">T1T2(T269,S269,V269,X269,Y269)</f>
        <v>0.80248342294392783</v>
      </c>
      <c r="AH269">
        <v>0.10945112071945834</v>
      </c>
      <c r="AJ269">
        <f t="array" ref="AJ269:AM269">Canay(T269,AB269,S269,V269,AG269,AH269)</f>
        <v>0.83501321243111548</v>
      </c>
      <c r="AK269">
        <v>0.42647844495299353</v>
      </c>
      <c r="AL269">
        <v>3.6898107111884784</v>
      </c>
      <c r="AM269">
        <v>0.26982164564810279</v>
      </c>
      <c r="AO269" s="1">
        <f t="array" ref="AO269:AR269">Niipt(T269,AB269,S269,V269,X269,Y269)</f>
        <v>0.83075900845914619</v>
      </c>
      <c r="AP269" s="1">
        <v>0.36047537732553064</v>
      </c>
      <c r="AQ269" s="1">
        <v>3.5454494510347874</v>
      </c>
      <c r="AR269" s="1">
        <v>0.305173761071932</v>
      </c>
      <c r="AT269" s="1">
        <f t="shared" si="17"/>
        <v>0.50947744402550343</v>
      </c>
      <c r="AU269" s="1">
        <f t="shared" si="14"/>
        <v>15.476296260350919</v>
      </c>
      <c r="AV269" s="1">
        <f t="shared" si="15"/>
        <v>3.9124299714332125</v>
      </c>
      <c r="AW269" s="1">
        <f t="shared" si="16"/>
        <v>-13.102030913388948</v>
      </c>
    </row>
    <row r="270" spans="1:49" x14ac:dyDescent="0.25">
      <c r="A270" t="s">
        <v>31</v>
      </c>
      <c r="B270" t="s">
        <v>31</v>
      </c>
      <c r="C270">
        <v>60511089</v>
      </c>
      <c r="D270" t="s">
        <v>302</v>
      </c>
      <c r="E270">
        <v>60511089</v>
      </c>
      <c r="F270" t="s">
        <v>34</v>
      </c>
      <c r="G270">
        <v>0</v>
      </c>
      <c r="H270">
        <v>1</v>
      </c>
      <c r="I270">
        <v>60511089</v>
      </c>
      <c r="J270">
        <v>0</v>
      </c>
      <c r="K270">
        <v>0</v>
      </c>
      <c r="L270">
        <v>175.2</v>
      </c>
      <c r="M270">
        <v>78.458337031529297</v>
      </c>
      <c r="N270">
        <v>220</v>
      </c>
      <c r="O270">
        <v>15.75</v>
      </c>
      <c r="P270">
        <v>0.85</v>
      </c>
      <c r="Q270">
        <v>1</v>
      </c>
      <c r="R270">
        <v>6.6094117647058797</v>
      </c>
      <c r="S270">
        <v>0.29902806818181799</v>
      </c>
      <c r="T270">
        <v>2.5628238920454494</v>
      </c>
      <c r="U270">
        <v>2.3069248721590894</v>
      </c>
      <c r="V270">
        <v>0.19264308238636399</v>
      </c>
      <c r="W270">
        <v>0.21181154829545501</v>
      </c>
      <c r="X270">
        <v>10.476000000000001</v>
      </c>
      <c r="Y270">
        <v>3.1E-2</v>
      </c>
      <c r="Z270">
        <v>0.5</v>
      </c>
      <c r="AA270">
        <v>0</v>
      </c>
      <c r="AB270">
        <v>6.6131207386363591E-2</v>
      </c>
      <c r="AC270">
        <v>0</v>
      </c>
      <c r="AD270">
        <v>0</v>
      </c>
      <c r="AE270">
        <v>0</v>
      </c>
      <c r="AG270">
        <f t="array" ref="AG270:AH270">T1T2(T270,S270,V270,X270,Y270)</f>
        <v>1.212480047982218</v>
      </c>
      <c r="AH270">
        <v>2.0133405347041822E-2</v>
      </c>
      <c r="AJ270">
        <f t="array" ref="AJ270:AM270">Canay(T270,AB270,S270,V270,AG270,AH270)</f>
        <v>0.26656936818428917</v>
      </c>
      <c r="AK270">
        <v>0.25857038889509787</v>
      </c>
      <c r="AL270">
        <v>16.209433092820241</v>
      </c>
      <c r="AM270">
        <v>0.27499365116968355</v>
      </c>
      <c r="AO270" s="1">
        <f t="array" ref="AO270:AR270">Niipt(T270,AB270,S270,V270,X270,Y270)</f>
        <v>0.26640188003824972</v>
      </c>
      <c r="AP270" s="1">
        <v>0.25685703741412308</v>
      </c>
      <c r="AQ270" s="1">
        <v>16.227267063611034</v>
      </c>
      <c r="AR270" s="1">
        <v>0.27695842905405615</v>
      </c>
      <c r="AT270" s="1">
        <f t="shared" si="17"/>
        <v>6.2830979860994771E-2</v>
      </c>
      <c r="AU270" s="1">
        <f t="shared" si="14"/>
        <v>0.66262478402733782</v>
      </c>
      <c r="AV270" s="1">
        <f t="shared" si="15"/>
        <v>-0.11002217467242824</v>
      </c>
      <c r="AW270" s="1">
        <f t="shared" si="16"/>
        <v>-0.71448118020741025</v>
      </c>
    </row>
    <row r="271" spans="1:49" x14ac:dyDescent="0.25">
      <c r="A271" t="s">
        <v>31</v>
      </c>
      <c r="B271" t="s">
        <v>32</v>
      </c>
      <c r="C271">
        <v>61000013</v>
      </c>
      <c r="D271" t="s">
        <v>303</v>
      </c>
      <c r="E271">
        <v>61000013</v>
      </c>
      <c r="F271" t="s">
        <v>34</v>
      </c>
      <c r="G271">
        <v>0</v>
      </c>
      <c r="H271">
        <v>1</v>
      </c>
      <c r="I271">
        <v>61000013</v>
      </c>
      <c r="J271">
        <v>0</v>
      </c>
      <c r="K271">
        <v>0</v>
      </c>
      <c r="L271">
        <v>1.56</v>
      </c>
      <c r="M271">
        <v>0.12309136851762799</v>
      </c>
      <c r="N271">
        <v>2.5</v>
      </c>
      <c r="O271">
        <v>6.3</v>
      </c>
      <c r="P271">
        <v>0.8</v>
      </c>
      <c r="Q271">
        <v>1</v>
      </c>
      <c r="R271">
        <v>9.3699999999999974</v>
      </c>
      <c r="S271">
        <v>3.8102399999999994</v>
      </c>
      <c r="T271">
        <v>25.401599999999995</v>
      </c>
      <c r="U271">
        <v>25.401599999999995</v>
      </c>
      <c r="V271">
        <v>2.5401600000000002</v>
      </c>
      <c r="W271">
        <v>2.7941759999999998</v>
      </c>
      <c r="X271">
        <v>10</v>
      </c>
      <c r="Y271">
        <v>0.2</v>
      </c>
      <c r="Z271">
        <v>0.5</v>
      </c>
      <c r="AA271">
        <v>0</v>
      </c>
      <c r="AB271">
        <v>2.2226400000000002</v>
      </c>
      <c r="AC271">
        <v>0</v>
      </c>
      <c r="AD271">
        <v>0</v>
      </c>
      <c r="AE271">
        <v>0</v>
      </c>
      <c r="AG271">
        <f t="array" ref="AG271:AH271">T1T2(T271,S271,V271,X271,Y271)</f>
        <v>1.4397036386444035</v>
      </c>
      <c r="AH271">
        <v>0.13891747900860768</v>
      </c>
      <c r="AJ271">
        <f t="array" ref="AJ271:AM271">Canay(T271,AB271,S271,V271,AG271,AH271)</f>
        <v>3.2814714651766996</v>
      </c>
      <c r="AK271">
        <v>2.3413824356266417</v>
      </c>
      <c r="AL271">
        <v>9.72068266034141</v>
      </c>
      <c r="AM271">
        <v>0.37325030993730379</v>
      </c>
      <c r="AO271" s="1">
        <f t="array" ref="AO271:AR271">Niipt(T271,AB271,S271,V271,X271,Y271)</f>
        <v>3.7701962566844878</v>
      </c>
      <c r="AP271" s="1">
        <v>1.7043352941176462</v>
      </c>
      <c r="AQ271" s="1">
        <v>6.5488500000000061</v>
      </c>
      <c r="AR271" s="1">
        <v>0.39690000000000003</v>
      </c>
      <c r="AT271" s="1">
        <f t="shared" si="17"/>
        <v>-14.893464614706668</v>
      </c>
      <c r="AU271" s="1">
        <f t="shared" si="14"/>
        <v>27.208162657054263</v>
      </c>
      <c r="AV271" s="1">
        <f t="shared" si="15"/>
        <v>32.62973158543582</v>
      </c>
      <c r="AW271" s="1">
        <f t="shared" si="16"/>
        <v>-6.3361474680808065</v>
      </c>
    </row>
    <row r="272" spans="1:49" x14ac:dyDescent="0.25">
      <c r="A272" t="s">
        <v>31</v>
      </c>
      <c r="B272" t="s">
        <v>32</v>
      </c>
      <c r="C272">
        <v>61000003</v>
      </c>
      <c r="D272" t="s">
        <v>304</v>
      </c>
      <c r="E272">
        <v>61000003</v>
      </c>
      <c r="F272" t="s">
        <v>34</v>
      </c>
      <c r="G272">
        <v>0</v>
      </c>
      <c r="H272">
        <v>1</v>
      </c>
      <c r="I272">
        <v>61000003</v>
      </c>
      <c r="J272">
        <v>0</v>
      </c>
      <c r="K272">
        <v>0</v>
      </c>
      <c r="L272">
        <v>0</v>
      </c>
      <c r="M272">
        <v>0</v>
      </c>
      <c r="N272">
        <v>2.5</v>
      </c>
      <c r="O272">
        <v>6.3</v>
      </c>
      <c r="P272">
        <v>0.8</v>
      </c>
      <c r="Q272">
        <v>1</v>
      </c>
      <c r="R272">
        <v>9.3699999999999974</v>
      </c>
      <c r="S272">
        <v>3.8102399999999994</v>
      </c>
      <c r="T272">
        <v>25.401599999999995</v>
      </c>
      <c r="U272">
        <v>25.401599999999995</v>
      </c>
      <c r="V272">
        <v>2.5401600000000002</v>
      </c>
      <c r="W272">
        <v>2.7941759999999998</v>
      </c>
      <c r="X272">
        <v>10</v>
      </c>
      <c r="Y272">
        <v>0.2</v>
      </c>
      <c r="Z272">
        <v>0.5</v>
      </c>
      <c r="AA272">
        <v>0</v>
      </c>
      <c r="AB272">
        <v>2.2226400000000002</v>
      </c>
      <c r="AC272">
        <v>0</v>
      </c>
      <c r="AD272">
        <v>0</v>
      </c>
      <c r="AE272">
        <v>0</v>
      </c>
      <c r="AG272">
        <f t="array" ref="AG272:AH272">T1T2(T272,S272,V272,X272,Y272)</f>
        <v>1.4397036386444035</v>
      </c>
      <c r="AH272">
        <v>0.13891747900860768</v>
      </c>
      <c r="AJ272">
        <f t="array" ref="AJ272:AM272">Canay(T272,AB272,S272,V272,AG272,AH272)</f>
        <v>3.2814714651766996</v>
      </c>
      <c r="AK272">
        <v>2.3413824356266417</v>
      </c>
      <c r="AL272">
        <v>9.72068266034141</v>
      </c>
      <c r="AM272">
        <v>0.37325030993730379</v>
      </c>
      <c r="AO272" s="1">
        <f t="array" ref="AO272:AR272">Niipt(T272,AB272,S272,V272,X272,Y272)</f>
        <v>3.7701962566844878</v>
      </c>
      <c r="AP272" s="1">
        <v>1.7043352941176462</v>
      </c>
      <c r="AQ272" s="1">
        <v>6.5488500000000061</v>
      </c>
      <c r="AR272" s="1">
        <v>0.39690000000000003</v>
      </c>
      <c r="AT272" s="1">
        <f t="shared" si="17"/>
        <v>-14.893464614706668</v>
      </c>
      <c r="AU272" s="1">
        <f t="shared" si="14"/>
        <v>27.208162657054263</v>
      </c>
      <c r="AV272" s="1">
        <f t="shared" si="15"/>
        <v>32.62973158543582</v>
      </c>
      <c r="AW272" s="1">
        <f t="shared" si="16"/>
        <v>-6.3361474680808065</v>
      </c>
    </row>
    <row r="273" spans="1:49" x14ac:dyDescent="0.25">
      <c r="A273" t="s">
        <v>31</v>
      </c>
      <c r="B273" t="s">
        <v>32</v>
      </c>
      <c r="C273">
        <v>61000990</v>
      </c>
      <c r="D273" t="s">
        <v>305</v>
      </c>
      <c r="E273">
        <v>61000990</v>
      </c>
      <c r="F273" t="s">
        <v>34</v>
      </c>
      <c r="G273">
        <v>0</v>
      </c>
      <c r="H273">
        <v>1</v>
      </c>
      <c r="I273">
        <v>61000990</v>
      </c>
      <c r="J273">
        <v>0</v>
      </c>
      <c r="K273">
        <v>0</v>
      </c>
      <c r="L273">
        <v>1.53</v>
      </c>
      <c r="M273">
        <v>8.1981508062112685E-2</v>
      </c>
      <c r="N273">
        <v>6</v>
      </c>
      <c r="O273">
        <v>6.3</v>
      </c>
      <c r="P273">
        <v>0.8</v>
      </c>
      <c r="Q273">
        <v>1</v>
      </c>
      <c r="R273">
        <v>10.15</v>
      </c>
      <c r="S273">
        <v>1.0584</v>
      </c>
      <c r="T273">
        <v>11.00736</v>
      </c>
      <c r="U273">
        <v>11.00736</v>
      </c>
      <c r="V273">
        <v>0.69325199999999998</v>
      </c>
      <c r="W273">
        <v>0.95785200000000004</v>
      </c>
      <c r="X273">
        <v>7.9</v>
      </c>
      <c r="Y273">
        <v>0.14499999999999996</v>
      </c>
      <c r="Z273">
        <v>0.5</v>
      </c>
      <c r="AA273">
        <v>0</v>
      </c>
      <c r="AB273">
        <v>0.56095200000000001</v>
      </c>
      <c r="AC273">
        <v>0</v>
      </c>
      <c r="AD273">
        <v>0</v>
      </c>
      <c r="AE273">
        <v>0</v>
      </c>
      <c r="AG273">
        <f t="array" ref="AG273:AH273">T1T2(T273,S273,V273,X273,Y273)</f>
        <v>0.71029259831368563</v>
      </c>
      <c r="AH273">
        <v>0.10157007312919381</v>
      </c>
      <c r="AJ273">
        <f t="array" ref="AJ273:AM273">Canay(T273,AB273,S273,V273,AG273,AH273)</f>
        <v>2.0101568518293176</v>
      </c>
      <c r="AK273">
        <v>0.77563842771983793</v>
      </c>
      <c r="AL273">
        <v>4.3082758991939665</v>
      </c>
      <c r="AM273">
        <v>0.16198025956510717</v>
      </c>
      <c r="AO273" s="1">
        <f t="array" ref="AO273:AR273">Niipt(T273,AB273,S273,V273,X273,Y273)</f>
        <v>0</v>
      </c>
      <c r="AP273" s="1">
        <v>0</v>
      </c>
      <c r="AQ273" s="1">
        <v>0</v>
      </c>
      <c r="AR273" s="1">
        <v>0</v>
      </c>
      <c r="AT273" s="1">
        <f t="shared" si="17"/>
        <v>0</v>
      </c>
      <c r="AU273" s="1">
        <f t="shared" si="14"/>
        <v>0</v>
      </c>
      <c r="AV273" s="1">
        <f t="shared" si="15"/>
        <v>0</v>
      </c>
      <c r="AW273" s="1">
        <f t="shared" si="16"/>
        <v>0</v>
      </c>
    </row>
    <row r="274" spans="1:49" x14ac:dyDescent="0.25">
      <c r="A274" t="s">
        <v>31</v>
      </c>
      <c r="B274" t="s">
        <v>32</v>
      </c>
      <c r="C274">
        <v>61000991</v>
      </c>
      <c r="D274" t="s">
        <v>306</v>
      </c>
      <c r="E274">
        <v>61000991</v>
      </c>
      <c r="F274" t="s">
        <v>34</v>
      </c>
      <c r="G274">
        <v>0</v>
      </c>
      <c r="H274">
        <v>1</v>
      </c>
      <c r="I274">
        <v>61000991</v>
      </c>
      <c r="J274">
        <v>0</v>
      </c>
      <c r="K274">
        <v>0</v>
      </c>
      <c r="L274">
        <v>2.2000000000000002</v>
      </c>
      <c r="M274">
        <v>3.4671315776131202</v>
      </c>
      <c r="N274">
        <v>6</v>
      </c>
      <c r="O274">
        <v>6.3</v>
      </c>
      <c r="P274">
        <v>0.8</v>
      </c>
      <c r="Q274">
        <v>1</v>
      </c>
      <c r="R274">
        <v>10.15</v>
      </c>
      <c r="S274">
        <v>1.0584</v>
      </c>
      <c r="T274">
        <v>11.00736</v>
      </c>
      <c r="U274">
        <v>11.00736</v>
      </c>
      <c r="V274">
        <v>0.69325199999999998</v>
      </c>
      <c r="W274">
        <v>0.95785200000000004</v>
      </c>
      <c r="X274">
        <v>7.9</v>
      </c>
      <c r="Y274">
        <v>0.14499999999999996</v>
      </c>
      <c r="Z274">
        <v>0.5</v>
      </c>
      <c r="AA274">
        <v>0</v>
      </c>
      <c r="AB274">
        <v>0.56095200000000001</v>
      </c>
      <c r="AC274">
        <v>0</v>
      </c>
      <c r="AD274">
        <v>0</v>
      </c>
      <c r="AE274">
        <v>0</v>
      </c>
      <c r="AG274">
        <f t="array" ref="AG274:AH274">T1T2(T274,S274,V274,X274,Y274)</f>
        <v>0.71029259831368563</v>
      </c>
      <c r="AH274">
        <v>0.10157007312919381</v>
      </c>
      <c r="AJ274">
        <f t="array" ref="AJ274:AM274">Canay(T274,AB274,S274,V274,AG274,AH274)</f>
        <v>2.0101568518293176</v>
      </c>
      <c r="AK274">
        <v>0.77563842771983793</v>
      </c>
      <c r="AL274">
        <v>4.3082758991939665</v>
      </c>
      <c r="AM274">
        <v>0.16198025956510717</v>
      </c>
      <c r="AO274" s="1">
        <f t="array" ref="AO274:AR274">Niipt(T274,AB274,S274,V274,X274,Y274)</f>
        <v>0</v>
      </c>
      <c r="AP274" s="1">
        <v>0</v>
      </c>
      <c r="AQ274" s="1">
        <v>0</v>
      </c>
      <c r="AR274" s="1">
        <v>0</v>
      </c>
      <c r="AT274" s="1">
        <f t="shared" si="17"/>
        <v>0</v>
      </c>
      <c r="AU274" s="1">
        <f t="shared" ref="AU274:AU288" si="18">IF(AP274&gt;0,(AK274-AP274)/AK274*100,0)</f>
        <v>0</v>
      </c>
      <c r="AV274" s="1">
        <f t="shared" ref="AV274:AV288" si="19">IF(AQ274&gt;0,(AL274-AQ274)/AL274*100,0)</f>
        <v>0</v>
      </c>
      <c r="AW274" s="1">
        <f t="shared" ref="AW274:AW288" si="20">IF(AR274&gt;0,(AM274-AR274)/AM274*100,0)</f>
        <v>0</v>
      </c>
    </row>
    <row r="275" spans="1:49" x14ac:dyDescent="0.25">
      <c r="A275" t="s">
        <v>31</v>
      </c>
      <c r="B275" t="s">
        <v>31</v>
      </c>
      <c r="C275">
        <v>60513065</v>
      </c>
      <c r="D275" t="s">
        <v>307</v>
      </c>
      <c r="E275">
        <v>60513065</v>
      </c>
      <c r="F275" t="s">
        <v>34</v>
      </c>
      <c r="G275">
        <v>0</v>
      </c>
      <c r="H275">
        <v>1</v>
      </c>
      <c r="I275">
        <v>60513065</v>
      </c>
      <c r="J275">
        <v>0</v>
      </c>
      <c r="K275">
        <v>0</v>
      </c>
      <c r="L275">
        <v>71.91</v>
      </c>
      <c r="M275">
        <v>36.256622059042897</v>
      </c>
      <c r="N275">
        <v>100</v>
      </c>
      <c r="O275">
        <v>10.5</v>
      </c>
      <c r="P275">
        <v>0.8</v>
      </c>
      <c r="Q275">
        <v>1</v>
      </c>
      <c r="R275">
        <v>6.5250000000000004</v>
      </c>
      <c r="S275">
        <v>0.245196</v>
      </c>
      <c r="T275">
        <v>1.6819740000000001</v>
      </c>
      <c r="U275">
        <v>1.513512</v>
      </c>
      <c r="V275">
        <v>0.16934399999999997</v>
      </c>
      <c r="W275">
        <v>0.18610199999999999</v>
      </c>
      <c r="X275">
        <v>6.45</v>
      </c>
      <c r="Y275">
        <v>0.17</v>
      </c>
      <c r="Z275">
        <v>0.5</v>
      </c>
      <c r="AA275">
        <v>0</v>
      </c>
      <c r="AB275">
        <v>0.121776858</v>
      </c>
      <c r="AC275">
        <v>0</v>
      </c>
      <c r="AD275">
        <v>0</v>
      </c>
      <c r="AE275">
        <v>0</v>
      </c>
      <c r="AG275">
        <f t="array" ref="AG275:AH275">T1T2(T275,S275,V275,X275,Y275)</f>
        <v>0.89153895068382283</v>
      </c>
      <c r="AH275">
        <v>0.12382799750122914</v>
      </c>
      <c r="AJ275">
        <f t="array" ref="AJ275:AM275">Canay(T275,AB275,S275,V275,AG275,AH275)</f>
        <v>0.3431347416575623</v>
      </c>
      <c r="AK275">
        <v>0.17592874801776451</v>
      </c>
      <c r="AL275">
        <v>1.0434750104793484</v>
      </c>
      <c r="AM275">
        <v>6.8037155565355015E-2</v>
      </c>
      <c r="AO275" s="1">
        <f t="array" ref="AO275:AR275">Niipt(T275,AB275,S275,V275,X275,Y275)</f>
        <v>0.35823717423307583</v>
      </c>
      <c r="AP275" s="1">
        <v>0.13402083872142542</v>
      </c>
      <c r="AQ275" s="1">
        <v>0.86613982821686464</v>
      </c>
      <c r="AR275" s="1">
        <v>7.7396717990720815E-2</v>
      </c>
      <c r="AT275" s="1">
        <f t="shared" si="17"/>
        <v>-4.4013125871659122</v>
      </c>
      <c r="AU275" s="1">
        <f t="shared" si="18"/>
        <v>23.820955795187839</v>
      </c>
      <c r="AV275" s="1">
        <f t="shared" si="19"/>
        <v>16.994674571173498</v>
      </c>
      <c r="AW275" s="1">
        <f t="shared" si="20"/>
        <v>-13.756545739739529</v>
      </c>
    </row>
    <row r="276" spans="1:49" x14ac:dyDescent="0.25">
      <c r="A276" t="s">
        <v>31</v>
      </c>
      <c r="B276" t="s">
        <v>31</v>
      </c>
      <c r="C276">
        <v>60524091</v>
      </c>
      <c r="D276" t="s">
        <v>308</v>
      </c>
      <c r="E276">
        <v>60524091</v>
      </c>
      <c r="F276" t="s">
        <v>34</v>
      </c>
      <c r="G276">
        <v>0</v>
      </c>
      <c r="H276">
        <v>1</v>
      </c>
      <c r="I276">
        <v>60524091</v>
      </c>
      <c r="J276">
        <v>0</v>
      </c>
      <c r="K276">
        <v>0</v>
      </c>
      <c r="L276">
        <v>56.47</v>
      </c>
      <c r="M276">
        <v>-1.4484948118011902</v>
      </c>
      <c r="N276">
        <v>165</v>
      </c>
      <c r="O276">
        <v>18</v>
      </c>
      <c r="P276">
        <v>0.85</v>
      </c>
      <c r="Q276">
        <v>1</v>
      </c>
      <c r="R276">
        <v>12.36</v>
      </c>
      <c r="S276">
        <v>0.5407854545454549</v>
      </c>
      <c r="T276">
        <v>3.3882545454545494</v>
      </c>
      <c r="U276">
        <v>3.2213454545454501</v>
      </c>
      <c r="V276">
        <v>0.36553090909090902</v>
      </c>
      <c r="W276">
        <v>0.63425454545454485</v>
      </c>
      <c r="X276">
        <v>4.8099999999999987</v>
      </c>
      <c r="Y276">
        <v>0.04</v>
      </c>
      <c r="Z276">
        <v>0.12</v>
      </c>
      <c r="AA276">
        <v>0</v>
      </c>
      <c r="AB276">
        <v>0.28497891272727294</v>
      </c>
      <c r="AC276">
        <v>0</v>
      </c>
      <c r="AD276">
        <v>0</v>
      </c>
      <c r="AE276">
        <v>0</v>
      </c>
      <c r="AG276">
        <f t="array" ref="AG276:AH276">T1T2(T276,S276,V276,X276,Y276)</f>
        <v>0.75655582392978915</v>
      </c>
      <c r="AH276">
        <v>2.7435454920107349E-2</v>
      </c>
      <c r="AJ276">
        <f t="array" ref="AJ276:AM276">Canay(T276,AB276,S276,V276,AG276,AH276)</f>
        <v>0.75731177340295808</v>
      </c>
      <c r="AK276">
        <v>0.30145301664668162</v>
      </c>
      <c r="AL276">
        <v>9.0833269206965408</v>
      </c>
      <c r="AM276">
        <v>0.11396225765587939</v>
      </c>
      <c r="AO276" s="1">
        <f t="array" ref="AO276:AR276">Niipt(T276,AB276,S276,V276,X276,Y276)</f>
        <v>0.75500965713283053</v>
      </c>
      <c r="AP276" s="1">
        <v>0.27878729586601103</v>
      </c>
      <c r="AQ276" s="1">
        <v>8.6931687918817193</v>
      </c>
      <c r="AR276" s="1">
        <v>0.11757599537797336</v>
      </c>
      <c r="AT276" s="1">
        <f t="shared" si="17"/>
        <v>0.30398527409432191</v>
      </c>
      <c r="AU276" s="1">
        <f t="shared" si="18"/>
        <v>7.5188236736857634</v>
      </c>
      <c r="AV276" s="1">
        <f t="shared" si="19"/>
        <v>4.2953218817417929</v>
      </c>
      <c r="AW276" s="1">
        <f t="shared" si="20"/>
        <v>-3.1709952017676075</v>
      </c>
    </row>
    <row r="277" spans="1:49" x14ac:dyDescent="0.25">
      <c r="A277" t="s">
        <v>31</v>
      </c>
      <c r="B277" t="s">
        <v>31</v>
      </c>
      <c r="C277">
        <v>60524092</v>
      </c>
      <c r="D277" t="s">
        <v>309</v>
      </c>
      <c r="E277">
        <v>60524092</v>
      </c>
      <c r="F277" t="s">
        <v>34</v>
      </c>
      <c r="G277">
        <v>0</v>
      </c>
      <c r="H277">
        <v>1</v>
      </c>
      <c r="I277">
        <v>60524092</v>
      </c>
      <c r="J277">
        <v>0</v>
      </c>
      <c r="K277">
        <v>0</v>
      </c>
      <c r="L277">
        <v>0</v>
      </c>
      <c r="M277">
        <v>0</v>
      </c>
      <c r="N277">
        <v>160</v>
      </c>
      <c r="O277">
        <v>18</v>
      </c>
      <c r="P277">
        <v>0.85</v>
      </c>
      <c r="Q277">
        <v>1</v>
      </c>
      <c r="R277">
        <v>11.2</v>
      </c>
      <c r="S277">
        <v>0.55768499999999999</v>
      </c>
      <c r="T277">
        <v>3.1447237499999994</v>
      </c>
      <c r="U277">
        <v>3.1447237499999994</v>
      </c>
      <c r="V277">
        <v>0.39072374999999993</v>
      </c>
      <c r="W277">
        <v>0.4716225</v>
      </c>
      <c r="X277">
        <v>5.42</v>
      </c>
      <c r="Y277">
        <v>0.173097</v>
      </c>
      <c r="Z277">
        <v>0.12</v>
      </c>
      <c r="AA277">
        <v>0</v>
      </c>
      <c r="AB277">
        <v>0.29388450375000003</v>
      </c>
      <c r="AC277">
        <v>0</v>
      </c>
      <c r="AD277">
        <v>0</v>
      </c>
      <c r="AE277">
        <v>0</v>
      </c>
      <c r="AG277">
        <f t="array" ref="AG277:AH277">T1T2(T277,S277,V277,X277,Y277)</f>
        <v>0.91483519452172568</v>
      </c>
      <c r="AH277">
        <v>0.12741873040391652</v>
      </c>
      <c r="AJ277">
        <f t="array" ref="AJ277:AM277">Canay(T277,AB277,S277,V277,AG277,AH277)</f>
        <v>0.77110029739321762</v>
      </c>
      <c r="AK277">
        <v>0.3938173077429824</v>
      </c>
      <c r="AL277">
        <v>2.1550406762942971</v>
      </c>
      <c r="AM277">
        <v>0.13447422273291523</v>
      </c>
      <c r="AO277" s="1">
        <f t="array" ref="AO277:AR277">Niipt(T277,AB277,S277,V277,X277,Y277)</f>
        <v>0.82114446701077215</v>
      </c>
      <c r="AP277" s="1">
        <v>0.29070024864904936</v>
      </c>
      <c r="AQ277" s="1">
        <v>1.6996897458178619</v>
      </c>
      <c r="AR277" s="1">
        <v>0.15300700741774456</v>
      </c>
      <c r="AT277" s="1">
        <f t="shared" si="17"/>
        <v>-6.4899689167199002</v>
      </c>
      <c r="AU277" s="1">
        <f t="shared" si="18"/>
        <v>26.183983554432931</v>
      </c>
      <c r="AV277" s="1">
        <f t="shared" si="19"/>
        <v>21.129574744706648</v>
      </c>
      <c r="AW277" s="1">
        <f t="shared" si="20"/>
        <v>-13.781663361340302</v>
      </c>
    </row>
    <row r="278" spans="1:49" x14ac:dyDescent="0.25">
      <c r="A278" t="s">
        <v>31</v>
      </c>
      <c r="B278" t="s">
        <v>31</v>
      </c>
      <c r="C278">
        <v>60524093</v>
      </c>
      <c r="D278" t="s">
        <v>310</v>
      </c>
      <c r="E278">
        <v>60524093</v>
      </c>
      <c r="F278" t="s">
        <v>34</v>
      </c>
      <c r="G278">
        <v>0</v>
      </c>
      <c r="H278">
        <v>1</v>
      </c>
      <c r="I278">
        <v>60524093</v>
      </c>
      <c r="J278">
        <v>0</v>
      </c>
      <c r="K278">
        <v>0</v>
      </c>
      <c r="L278">
        <v>113.28</v>
      </c>
      <c r="M278">
        <v>24.747452625827297</v>
      </c>
      <c r="N278">
        <v>150</v>
      </c>
      <c r="O278">
        <v>18</v>
      </c>
      <c r="P278">
        <v>0.85</v>
      </c>
      <c r="Q278">
        <v>1</v>
      </c>
      <c r="R278">
        <v>11.9</v>
      </c>
      <c r="S278">
        <v>0.55814399999999986</v>
      </c>
      <c r="T278">
        <v>3.1450680000000002</v>
      </c>
      <c r="U278">
        <v>3.35988</v>
      </c>
      <c r="V278">
        <v>0.39106800000000003</v>
      </c>
      <c r="W278">
        <v>0.50306399999999996</v>
      </c>
      <c r="X278">
        <v>5.42</v>
      </c>
      <c r="Y278">
        <v>0.173097</v>
      </c>
      <c r="Z278">
        <v>0.12</v>
      </c>
      <c r="AA278">
        <v>0</v>
      </c>
      <c r="AB278">
        <v>0.313476804</v>
      </c>
      <c r="AC278">
        <v>0</v>
      </c>
      <c r="AD278">
        <v>0</v>
      </c>
      <c r="AE278">
        <v>0</v>
      </c>
      <c r="AG278">
        <f t="array" ref="AG278:AH278">T1T2(T278,S278,V278,X278,Y278)</f>
        <v>0.91553697931495781</v>
      </c>
      <c r="AH278">
        <v>0.12741928904448649</v>
      </c>
      <c r="AJ278">
        <f t="array" ref="AJ278:AM278">Canay(T278,AB278,S278,V278,AG278,AH278)</f>
        <v>0.79422510216412534</v>
      </c>
      <c r="AK278">
        <v>0.38628452327908802</v>
      </c>
      <c r="AL278">
        <v>1.9021228659020613</v>
      </c>
      <c r="AM278">
        <v>0.10054155266347471</v>
      </c>
      <c r="AO278" s="1">
        <f t="array" ref="AO278:AR278">Niipt(T278,AB278,S278,V278,X278,Y278)</f>
        <v>0.99143386109266118</v>
      </c>
      <c r="AP278" s="1">
        <v>0.26780743390358819</v>
      </c>
      <c r="AQ278" s="1">
        <v>1.1938844122948891</v>
      </c>
      <c r="AR278" s="1">
        <v>0.11362505901270337</v>
      </c>
      <c r="AT278" s="1">
        <f t="shared" si="17"/>
        <v>-24.830335680800854</v>
      </c>
      <c r="AU278" s="1">
        <f t="shared" si="18"/>
        <v>30.67093870853866</v>
      </c>
      <c r="AV278" s="1">
        <f t="shared" si="19"/>
        <v>37.234106497705014</v>
      </c>
      <c r="AW278" s="1">
        <f t="shared" si="20"/>
        <v>-13.013033917449837</v>
      </c>
    </row>
    <row r="279" spans="1:49" x14ac:dyDescent="0.25">
      <c r="A279" t="s">
        <v>31</v>
      </c>
      <c r="B279" t="s">
        <v>32</v>
      </c>
      <c r="C279">
        <v>60524094</v>
      </c>
      <c r="D279" t="s">
        <v>311</v>
      </c>
      <c r="E279">
        <v>60524094</v>
      </c>
      <c r="F279" t="s">
        <v>34</v>
      </c>
      <c r="G279">
        <v>0</v>
      </c>
      <c r="H279">
        <v>1</v>
      </c>
      <c r="I279">
        <v>60524094</v>
      </c>
      <c r="J279">
        <v>0</v>
      </c>
      <c r="K279">
        <v>0</v>
      </c>
      <c r="L279">
        <v>0</v>
      </c>
      <c r="M279">
        <v>0</v>
      </c>
      <c r="N279">
        <v>160</v>
      </c>
      <c r="O279">
        <v>18</v>
      </c>
      <c r="P279">
        <v>0.85</v>
      </c>
      <c r="Q279">
        <v>1</v>
      </c>
      <c r="R279">
        <v>12.84</v>
      </c>
      <c r="S279">
        <v>0.56629124999999991</v>
      </c>
      <c r="T279">
        <v>4.0449374999999987</v>
      </c>
      <c r="U279">
        <v>3.8555999999999995</v>
      </c>
      <c r="V279">
        <v>0.38039624999999994</v>
      </c>
      <c r="W279">
        <v>0.51637500000000003</v>
      </c>
      <c r="X279">
        <v>5.7</v>
      </c>
      <c r="Y279">
        <v>0.148869</v>
      </c>
      <c r="Z279">
        <v>0.1</v>
      </c>
      <c r="AA279">
        <v>0</v>
      </c>
      <c r="AB279">
        <v>0.28689622874999993</v>
      </c>
      <c r="AC279">
        <v>0</v>
      </c>
      <c r="AD279">
        <v>0</v>
      </c>
      <c r="AE279">
        <v>0</v>
      </c>
      <c r="AG279">
        <f t="array" ref="AG279:AH279">T1T2(T279,S279,V279,X279,Y279)</f>
        <v>0.7521394554784</v>
      </c>
      <c r="AH279">
        <v>0.10609750395331512</v>
      </c>
      <c r="AJ279">
        <f t="array" ref="AJ279:AM279">Canay(T279,AB279,S279,V279,AG279,AH279)</f>
        <v>0.9670767409915183</v>
      </c>
      <c r="AK279">
        <v>0.41381620085773396</v>
      </c>
      <c r="AL279">
        <v>2.5295666907396237</v>
      </c>
      <c r="AM279">
        <v>0.1248041060765273</v>
      </c>
      <c r="AO279" s="1">
        <f t="array" ref="AO279:AR279">Niipt(T279,AB279,S279,V279,X279,Y279)</f>
        <v>1.083900854325641</v>
      </c>
      <c r="AP279" s="1">
        <v>0.30183523859008965</v>
      </c>
      <c r="AQ279" s="1">
        <v>1.8535903307609591</v>
      </c>
      <c r="AR279" s="1">
        <v>0.14052793471593752</v>
      </c>
      <c r="AT279" s="1">
        <f t="shared" si="17"/>
        <v>-12.080128533992658</v>
      </c>
      <c r="AU279" s="1">
        <f t="shared" si="18"/>
        <v>27.060555395254397</v>
      </c>
      <c r="AV279" s="1">
        <f t="shared" si="19"/>
        <v>26.723010010106307</v>
      </c>
      <c r="AW279" s="1">
        <f t="shared" si="20"/>
        <v>-12.598807149637128</v>
      </c>
    </row>
    <row r="280" spans="1:49" x14ac:dyDescent="0.25">
      <c r="A280" t="s">
        <v>31</v>
      </c>
      <c r="B280" t="s">
        <v>31</v>
      </c>
      <c r="C280">
        <v>60524095</v>
      </c>
      <c r="D280" t="s">
        <v>312</v>
      </c>
      <c r="E280">
        <v>60524095</v>
      </c>
      <c r="F280" t="s">
        <v>34</v>
      </c>
      <c r="G280">
        <v>0</v>
      </c>
      <c r="H280">
        <v>1</v>
      </c>
      <c r="I280">
        <v>60524095</v>
      </c>
      <c r="J280">
        <v>0</v>
      </c>
      <c r="K280">
        <v>0</v>
      </c>
      <c r="L280">
        <v>61.6</v>
      </c>
      <c r="M280">
        <v>42.312244442674796</v>
      </c>
      <c r="N280">
        <v>165</v>
      </c>
      <c r="O280">
        <v>18</v>
      </c>
      <c r="P280">
        <v>0.85</v>
      </c>
      <c r="Q280">
        <v>1</v>
      </c>
      <c r="R280">
        <v>10.45</v>
      </c>
      <c r="S280">
        <v>0.5407854545454549</v>
      </c>
      <c r="T280">
        <v>3.3882545454545494</v>
      </c>
      <c r="U280">
        <v>3.2213454545454501</v>
      </c>
      <c r="V280">
        <v>0.36553090909090902</v>
      </c>
      <c r="W280">
        <v>0.63425454545454485</v>
      </c>
      <c r="X280">
        <v>4.8099999999999987</v>
      </c>
      <c r="Y280">
        <v>0.04</v>
      </c>
      <c r="Z280">
        <v>0.12</v>
      </c>
      <c r="AA280">
        <v>0</v>
      </c>
      <c r="AB280">
        <v>0.28497891272727294</v>
      </c>
      <c r="AC280">
        <v>0</v>
      </c>
      <c r="AD280">
        <v>0</v>
      </c>
      <c r="AE280">
        <v>0</v>
      </c>
      <c r="AG280">
        <f t="array" ref="AG280:AH280">T1T2(T280,S280,V280,X280,Y280)</f>
        <v>0.75655582392978915</v>
      </c>
      <c r="AH280">
        <v>2.7435454920107349E-2</v>
      </c>
      <c r="AJ280">
        <f t="array" ref="AJ280:AM280">Canay(T280,AB280,S280,V280,AG280,AH280)</f>
        <v>0.75731177340295808</v>
      </c>
      <c r="AK280">
        <v>0.30145301664668162</v>
      </c>
      <c r="AL280">
        <v>9.0833269206965408</v>
      </c>
      <c r="AM280">
        <v>0.11396225765587939</v>
      </c>
      <c r="AO280" s="1">
        <f t="array" ref="AO280:AR280">Niipt(T280,AB280,S280,V280,X280,Y280)</f>
        <v>0.75500965713283053</v>
      </c>
      <c r="AP280" s="1">
        <v>0.27878729586601103</v>
      </c>
      <c r="AQ280" s="1">
        <v>8.6931687918817193</v>
      </c>
      <c r="AR280" s="1">
        <v>0.11757599537797336</v>
      </c>
      <c r="AT280" s="1">
        <f t="shared" si="17"/>
        <v>0.30398527409432191</v>
      </c>
      <c r="AU280" s="1">
        <f t="shared" si="18"/>
        <v>7.5188236736857634</v>
      </c>
      <c r="AV280" s="1">
        <f t="shared" si="19"/>
        <v>4.2953218817417929</v>
      </c>
      <c r="AW280" s="1">
        <f t="shared" si="20"/>
        <v>-3.1709952017676075</v>
      </c>
    </row>
    <row r="281" spans="1:49" x14ac:dyDescent="0.25">
      <c r="A281" t="s">
        <v>31</v>
      </c>
      <c r="B281" t="s">
        <v>31</v>
      </c>
      <c r="C281">
        <v>60524096</v>
      </c>
      <c r="D281" t="s">
        <v>313</v>
      </c>
      <c r="E281">
        <v>60524096</v>
      </c>
      <c r="F281" t="s">
        <v>34</v>
      </c>
      <c r="G281">
        <v>0</v>
      </c>
      <c r="H281">
        <v>1</v>
      </c>
      <c r="I281">
        <v>60524096</v>
      </c>
      <c r="J281">
        <v>0</v>
      </c>
      <c r="K281">
        <v>0</v>
      </c>
      <c r="L281">
        <v>119.37</v>
      </c>
      <c r="M281">
        <v>41.714129584896895</v>
      </c>
      <c r="N281">
        <v>150</v>
      </c>
      <c r="O281">
        <v>18</v>
      </c>
      <c r="P281">
        <v>0.85</v>
      </c>
      <c r="Q281">
        <v>1</v>
      </c>
      <c r="R281">
        <v>11.9</v>
      </c>
      <c r="S281">
        <v>0.59853599999999996</v>
      </c>
      <c r="T281">
        <v>3.35988</v>
      </c>
      <c r="U281">
        <v>3.35988</v>
      </c>
      <c r="V281">
        <v>0.41493600000000003</v>
      </c>
      <c r="W281">
        <v>0.50306399999999996</v>
      </c>
      <c r="X281">
        <v>5.42</v>
      </c>
      <c r="Y281">
        <v>0.173097</v>
      </c>
      <c r="Z281">
        <v>0.12</v>
      </c>
      <c r="AA281">
        <v>0</v>
      </c>
      <c r="AB281">
        <v>0.313476804</v>
      </c>
      <c r="AC281">
        <v>0</v>
      </c>
      <c r="AD281">
        <v>0</v>
      </c>
      <c r="AE281">
        <v>0</v>
      </c>
      <c r="AG281">
        <f t="array" ref="AG281:AH281">T1T2(T281,S281,V281,X281,Y281)</f>
        <v>0.91803904626973809</v>
      </c>
      <c r="AH281">
        <v>0.12620745927068186</v>
      </c>
      <c r="AJ281">
        <f t="array" ref="AJ281:AM281">Canay(T281,AB281,S281,V281,AG281,AH281)</f>
        <v>0.82518608592274389</v>
      </c>
      <c r="AK281">
        <v>0.4254340658184384</v>
      </c>
      <c r="AL281">
        <v>2.2989070286058162</v>
      </c>
      <c r="AM281">
        <v>0.13932655664173491</v>
      </c>
      <c r="AO281" s="1">
        <f t="array" ref="AO281:AR281">Niipt(T281,AB281,S281,V281,X281,Y281)</f>
        <v>0.88189909350588425</v>
      </c>
      <c r="AP281" s="1">
        <v>0.3144864405679228</v>
      </c>
      <c r="AQ281" s="1">
        <v>1.7978107073993128</v>
      </c>
      <c r="AR281" s="1">
        <v>0.15752656230156009</v>
      </c>
      <c r="AT281" s="1">
        <f t="shared" si="17"/>
        <v>-6.872753740112139</v>
      </c>
      <c r="AU281" s="1">
        <f t="shared" si="18"/>
        <v>26.07868860644189</v>
      </c>
      <c r="AV281" s="1">
        <f t="shared" si="19"/>
        <v>21.797154690087481</v>
      </c>
      <c r="AW281" s="1">
        <f t="shared" si="20"/>
        <v>-13.062840350404112</v>
      </c>
    </row>
    <row r="282" spans="1:49" x14ac:dyDescent="0.25">
      <c r="A282" t="s">
        <v>31</v>
      </c>
      <c r="B282" t="s">
        <v>32</v>
      </c>
      <c r="C282">
        <v>60524097</v>
      </c>
      <c r="D282" t="s">
        <v>314</v>
      </c>
      <c r="E282">
        <v>60524097</v>
      </c>
      <c r="F282" t="s">
        <v>34</v>
      </c>
      <c r="G282">
        <v>0</v>
      </c>
      <c r="H282">
        <v>1</v>
      </c>
      <c r="I282">
        <v>60524097</v>
      </c>
      <c r="J282">
        <v>0</v>
      </c>
      <c r="K282">
        <v>0</v>
      </c>
      <c r="L282">
        <v>0</v>
      </c>
      <c r="M282">
        <v>0</v>
      </c>
      <c r="N282">
        <v>500</v>
      </c>
      <c r="O282">
        <v>20</v>
      </c>
      <c r="P282">
        <v>0.85</v>
      </c>
      <c r="Q282">
        <v>1</v>
      </c>
      <c r="R282">
        <v>5.38</v>
      </c>
      <c r="S282">
        <v>0.25363999999999998</v>
      </c>
      <c r="T282">
        <v>1.6408400000000001</v>
      </c>
      <c r="U282">
        <v>1.6408400000000001</v>
      </c>
      <c r="V282">
        <v>0.16524</v>
      </c>
      <c r="W282">
        <v>0.16524</v>
      </c>
      <c r="X282">
        <v>6.3</v>
      </c>
      <c r="Y282">
        <v>0.18726699999999999</v>
      </c>
      <c r="Z282">
        <v>0.122</v>
      </c>
      <c r="AA282">
        <v>0</v>
      </c>
      <c r="AB282">
        <v>0.12466032000000001</v>
      </c>
      <c r="AC282">
        <v>0</v>
      </c>
      <c r="AD282">
        <v>0</v>
      </c>
      <c r="AE282">
        <v>0</v>
      </c>
      <c r="AG282">
        <f t="array" ref="AG282:AH282">T1T2(T282,S282,V282,X282,Y282)</f>
        <v>0.91307184190723045</v>
      </c>
      <c r="AH282">
        <v>0.13012052428620743</v>
      </c>
      <c r="AJ282">
        <f t="array" ref="AJ282:AM282">Canay(T282,AB282,S282,V282,AG282,AH282)</f>
        <v>0.35976042291928617</v>
      </c>
      <c r="AK282">
        <v>0.19310220080229362</v>
      </c>
      <c r="AL282">
        <v>0.90395593729906709</v>
      </c>
      <c r="AM282">
        <v>5.3178143540443909E-2</v>
      </c>
      <c r="AO282" s="1">
        <f t="array" ref="AO282:AR282">Niipt(T282,AB282,S282,V282,X282,Y282)</f>
        <v>0.40951706686076422</v>
      </c>
      <c r="AP282" s="1">
        <v>0.1409720083253333</v>
      </c>
      <c r="AQ282" s="1">
        <v>0.64547403996840036</v>
      </c>
      <c r="AR282" s="1">
        <v>5.9207626028307675E-2</v>
      </c>
      <c r="AT282" s="1">
        <f t="shared" si="17"/>
        <v>-13.830494065391171</v>
      </c>
      <c r="AU282" s="1">
        <f t="shared" si="18"/>
        <v>26.996166931485917</v>
      </c>
      <c r="AV282" s="1">
        <f t="shared" si="19"/>
        <v>28.594523987860033</v>
      </c>
      <c r="AW282" s="1">
        <f t="shared" si="20"/>
        <v>-11.338271865918232</v>
      </c>
    </row>
    <row r="283" spans="1:49" x14ac:dyDescent="0.25">
      <c r="A283" t="s">
        <v>31</v>
      </c>
      <c r="B283" t="s">
        <v>31</v>
      </c>
      <c r="C283">
        <v>60528008</v>
      </c>
      <c r="D283" t="s">
        <v>315</v>
      </c>
      <c r="E283">
        <v>60528008</v>
      </c>
      <c r="F283" t="s">
        <v>34</v>
      </c>
      <c r="G283">
        <v>0</v>
      </c>
      <c r="H283">
        <v>1</v>
      </c>
      <c r="I283">
        <v>60528008</v>
      </c>
      <c r="J283">
        <v>0</v>
      </c>
      <c r="K283">
        <v>0</v>
      </c>
      <c r="L283">
        <v>20.399999999999999</v>
      </c>
      <c r="M283">
        <v>27.702453709532897</v>
      </c>
      <c r="N283">
        <v>60</v>
      </c>
      <c r="O283">
        <v>10.5</v>
      </c>
      <c r="P283">
        <v>0.8</v>
      </c>
      <c r="Q283">
        <v>1</v>
      </c>
      <c r="R283">
        <v>8.2799999999999994</v>
      </c>
      <c r="S283">
        <v>0.32339999999999997</v>
      </c>
      <c r="T283">
        <v>2.4401999999999995</v>
      </c>
      <c r="U283">
        <v>2.1902999999999997</v>
      </c>
      <c r="V283">
        <v>0.21903</v>
      </c>
      <c r="W283">
        <v>0.23666999999999996</v>
      </c>
      <c r="X283">
        <v>6</v>
      </c>
      <c r="Y283">
        <v>0.15</v>
      </c>
      <c r="Z283">
        <v>0.5</v>
      </c>
      <c r="AA283">
        <v>0</v>
      </c>
      <c r="AB283">
        <v>0.17787</v>
      </c>
      <c r="AC283">
        <v>0</v>
      </c>
      <c r="AD283">
        <v>0</v>
      </c>
      <c r="AE283">
        <v>0</v>
      </c>
      <c r="AG283">
        <f t="array" ref="AG283:AH283">T1T2(T283,S283,V283,X283,Y283)</f>
        <v>0.74940820534446317</v>
      </c>
      <c r="AH283">
        <v>0.10779590075743667</v>
      </c>
      <c r="AJ283">
        <f t="array" ref="AJ283:AM283">Canay(T283,AB283,S283,V283,AG283,AH283)</f>
        <v>0.58016414138903649</v>
      </c>
      <c r="AK283">
        <v>0.23215334559909898</v>
      </c>
      <c r="AL283">
        <v>1.2502768521138534</v>
      </c>
      <c r="AM283">
        <v>5.1161591694185382E-2</v>
      </c>
      <c r="AO283" s="1">
        <f t="array" ref="AO283:AR283">Niipt(T283,AB283,S283,V283,X283,Y283)</f>
        <v>0</v>
      </c>
      <c r="AP283" s="1">
        <v>0</v>
      </c>
      <c r="AQ283" s="1">
        <v>0</v>
      </c>
      <c r="AR283" s="1">
        <v>0</v>
      </c>
      <c r="AT283" s="1">
        <f t="shared" si="17"/>
        <v>0</v>
      </c>
      <c r="AU283" s="1">
        <f t="shared" si="18"/>
        <v>0</v>
      </c>
      <c r="AV283" s="1">
        <f t="shared" si="19"/>
        <v>0</v>
      </c>
      <c r="AW283" s="1">
        <f t="shared" si="20"/>
        <v>0</v>
      </c>
    </row>
    <row r="284" spans="1:49" x14ac:dyDescent="0.25">
      <c r="A284" t="s">
        <v>31</v>
      </c>
      <c r="B284" t="s">
        <v>31</v>
      </c>
      <c r="C284">
        <v>60528009</v>
      </c>
      <c r="D284" t="s">
        <v>316</v>
      </c>
      <c r="E284">
        <v>60528009</v>
      </c>
      <c r="F284" t="s">
        <v>34</v>
      </c>
      <c r="G284">
        <v>0</v>
      </c>
      <c r="H284">
        <v>1</v>
      </c>
      <c r="I284">
        <v>60528009</v>
      </c>
      <c r="J284">
        <v>0</v>
      </c>
      <c r="K284">
        <v>0</v>
      </c>
      <c r="L284">
        <v>27.6</v>
      </c>
      <c r="M284">
        <v>27.708859743764098</v>
      </c>
      <c r="N284">
        <v>60</v>
      </c>
      <c r="O284">
        <v>10.5</v>
      </c>
      <c r="P284">
        <v>0.8</v>
      </c>
      <c r="Q284">
        <v>1</v>
      </c>
      <c r="R284">
        <v>4.75</v>
      </c>
      <c r="S284">
        <v>0.32339999999999997</v>
      </c>
      <c r="T284">
        <v>2.4401999999999995</v>
      </c>
      <c r="U284">
        <v>2.1902999999999997</v>
      </c>
      <c r="V284">
        <v>0.21903</v>
      </c>
      <c r="W284">
        <v>0.23666999999999996</v>
      </c>
      <c r="X284">
        <v>6</v>
      </c>
      <c r="Y284">
        <v>0.15</v>
      </c>
      <c r="Z284">
        <v>0.5</v>
      </c>
      <c r="AA284">
        <v>0</v>
      </c>
      <c r="AB284">
        <v>0.17787</v>
      </c>
      <c r="AC284">
        <v>0</v>
      </c>
      <c r="AD284">
        <v>0</v>
      </c>
      <c r="AE284">
        <v>0</v>
      </c>
      <c r="AG284">
        <f t="array" ref="AG284:AH284">T1T2(T284,S284,V284,X284,Y284)</f>
        <v>0.74940820534446317</v>
      </c>
      <c r="AH284">
        <v>0.10779590075743667</v>
      </c>
      <c r="AJ284">
        <f t="array" ref="AJ284:AM284">Canay(T284,AB284,S284,V284,AG284,AH284)</f>
        <v>0.58016414138903649</v>
      </c>
      <c r="AK284">
        <v>0.23215334559909898</v>
      </c>
      <c r="AL284">
        <v>1.2502768521138534</v>
      </c>
      <c r="AM284">
        <v>5.1161591694185382E-2</v>
      </c>
      <c r="AO284" s="1">
        <f t="array" ref="AO284:AR284">Niipt(T284,AB284,S284,V284,X284,Y284)</f>
        <v>0</v>
      </c>
      <c r="AP284" s="1">
        <v>0</v>
      </c>
      <c r="AQ284" s="1">
        <v>0</v>
      </c>
      <c r="AR284" s="1">
        <v>0</v>
      </c>
      <c r="AT284" s="1">
        <f t="shared" si="17"/>
        <v>0</v>
      </c>
      <c r="AU284" s="1">
        <f t="shared" si="18"/>
        <v>0</v>
      </c>
      <c r="AV284" s="1">
        <f t="shared" si="19"/>
        <v>0</v>
      </c>
      <c r="AW284" s="1">
        <f t="shared" si="20"/>
        <v>0</v>
      </c>
    </row>
    <row r="285" spans="1:49" x14ac:dyDescent="0.25">
      <c r="A285" t="s">
        <v>31</v>
      </c>
      <c r="B285" t="s">
        <v>31</v>
      </c>
      <c r="C285">
        <v>60528010</v>
      </c>
      <c r="D285" t="s">
        <v>317</v>
      </c>
      <c r="E285">
        <v>60528010</v>
      </c>
      <c r="F285" t="s">
        <v>34</v>
      </c>
      <c r="G285">
        <v>0</v>
      </c>
      <c r="H285">
        <v>1</v>
      </c>
      <c r="I285">
        <v>60528010</v>
      </c>
      <c r="J285">
        <v>0</v>
      </c>
      <c r="K285">
        <v>0</v>
      </c>
      <c r="L285">
        <v>40.79999999999999</v>
      </c>
      <c r="M285">
        <v>41.502551654682698</v>
      </c>
      <c r="N285">
        <v>60</v>
      </c>
      <c r="O285">
        <v>10.5</v>
      </c>
      <c r="P285">
        <v>0.8</v>
      </c>
      <c r="Q285">
        <v>1</v>
      </c>
      <c r="R285">
        <v>4.75</v>
      </c>
      <c r="S285">
        <v>0.32339999999999997</v>
      </c>
      <c r="T285">
        <v>2.4401999999999995</v>
      </c>
      <c r="U285">
        <v>2.1902999999999997</v>
      </c>
      <c r="V285">
        <v>0.21903</v>
      </c>
      <c r="W285">
        <v>0.23666999999999996</v>
      </c>
      <c r="X285">
        <v>6</v>
      </c>
      <c r="Y285">
        <v>0.15</v>
      </c>
      <c r="Z285">
        <v>0.5</v>
      </c>
      <c r="AA285">
        <v>0</v>
      </c>
      <c r="AB285">
        <v>0.17787</v>
      </c>
      <c r="AC285">
        <v>0</v>
      </c>
      <c r="AD285">
        <v>0</v>
      </c>
      <c r="AE285">
        <v>0</v>
      </c>
      <c r="AG285">
        <f t="array" ref="AG285:AH285">T1T2(T285,S285,V285,X285,Y285)</f>
        <v>0.74940820534446317</v>
      </c>
      <c r="AH285">
        <v>0.10779590075743667</v>
      </c>
      <c r="AJ285">
        <f t="array" ref="AJ285:AM285">Canay(T285,AB285,S285,V285,AG285,AH285)</f>
        <v>0.58016414138903649</v>
      </c>
      <c r="AK285">
        <v>0.23215334559909898</v>
      </c>
      <c r="AL285">
        <v>1.2502768521138534</v>
      </c>
      <c r="AM285">
        <v>5.1161591694185382E-2</v>
      </c>
      <c r="AO285" s="1">
        <f t="array" ref="AO285:AR285">Niipt(T285,AB285,S285,V285,X285,Y285)</f>
        <v>0</v>
      </c>
      <c r="AP285" s="1">
        <v>0</v>
      </c>
      <c r="AQ285" s="1">
        <v>0</v>
      </c>
      <c r="AR285" s="1">
        <v>0</v>
      </c>
      <c r="AT285" s="1">
        <f t="shared" si="17"/>
        <v>0</v>
      </c>
      <c r="AU285" s="1">
        <f t="shared" si="18"/>
        <v>0</v>
      </c>
      <c r="AV285" s="1">
        <f t="shared" si="19"/>
        <v>0</v>
      </c>
      <c r="AW285" s="1">
        <f t="shared" si="20"/>
        <v>0</v>
      </c>
    </row>
    <row r="286" spans="1:49" x14ac:dyDescent="0.25">
      <c r="A286" t="s">
        <v>31</v>
      </c>
      <c r="B286" t="s">
        <v>31</v>
      </c>
      <c r="C286">
        <v>60528011</v>
      </c>
      <c r="D286" t="s">
        <v>318</v>
      </c>
      <c r="E286">
        <v>60528011</v>
      </c>
      <c r="F286" t="s">
        <v>34</v>
      </c>
      <c r="G286">
        <v>0</v>
      </c>
      <c r="H286">
        <v>1</v>
      </c>
      <c r="I286">
        <v>60528011</v>
      </c>
      <c r="J286">
        <v>0</v>
      </c>
      <c r="K286">
        <v>0</v>
      </c>
      <c r="L286">
        <v>44.4</v>
      </c>
      <c r="M286">
        <v>41.508239920079703</v>
      </c>
      <c r="N286">
        <v>60</v>
      </c>
      <c r="O286">
        <v>10.5</v>
      </c>
      <c r="P286">
        <v>0.8</v>
      </c>
      <c r="Q286">
        <v>1</v>
      </c>
      <c r="R286">
        <v>8.2799999999999994</v>
      </c>
      <c r="S286">
        <v>0.32339999999999997</v>
      </c>
      <c r="T286">
        <v>2.4401999999999995</v>
      </c>
      <c r="U286">
        <v>2.1902999999999997</v>
      </c>
      <c r="V286">
        <v>0.21903</v>
      </c>
      <c r="W286">
        <v>0.23666999999999996</v>
      </c>
      <c r="X286">
        <v>6</v>
      </c>
      <c r="Y286">
        <v>0.15</v>
      </c>
      <c r="Z286">
        <v>0.5</v>
      </c>
      <c r="AA286">
        <v>0</v>
      </c>
      <c r="AB286">
        <v>0.17787</v>
      </c>
      <c r="AC286">
        <v>0</v>
      </c>
      <c r="AD286">
        <v>0</v>
      </c>
      <c r="AE286">
        <v>0</v>
      </c>
      <c r="AG286">
        <f t="array" ref="AG286:AH286">T1T2(T286,S286,V286,X286,Y286)</f>
        <v>0.74940820534446317</v>
      </c>
      <c r="AH286">
        <v>0.10779590075743667</v>
      </c>
      <c r="AJ286">
        <f t="array" ref="AJ286:AM286">Canay(T286,AB286,S286,V286,AG286,AH286)</f>
        <v>0.58016414138903649</v>
      </c>
      <c r="AK286">
        <v>0.23215334559909898</v>
      </c>
      <c r="AL286">
        <v>1.2502768521138534</v>
      </c>
      <c r="AM286">
        <v>5.1161591694185382E-2</v>
      </c>
      <c r="AO286" s="1">
        <f t="array" ref="AO286:AR286">Niipt(T286,AB286,S286,V286,X286,Y286)</f>
        <v>0</v>
      </c>
      <c r="AP286" s="1">
        <v>0</v>
      </c>
      <c r="AQ286" s="1">
        <v>0</v>
      </c>
      <c r="AR286" s="1">
        <v>0</v>
      </c>
      <c r="AT286" s="1">
        <f t="shared" si="17"/>
        <v>0</v>
      </c>
      <c r="AU286" s="1">
        <f t="shared" si="18"/>
        <v>0</v>
      </c>
      <c r="AV286" s="1">
        <f t="shared" si="19"/>
        <v>0</v>
      </c>
      <c r="AW286" s="1">
        <f t="shared" si="20"/>
        <v>0</v>
      </c>
    </row>
    <row r="287" spans="1:49" x14ac:dyDescent="0.25">
      <c r="A287" t="s">
        <v>31</v>
      </c>
      <c r="B287" t="s">
        <v>31</v>
      </c>
      <c r="C287">
        <v>60528012</v>
      </c>
      <c r="D287" t="s">
        <v>319</v>
      </c>
      <c r="E287">
        <v>60528012</v>
      </c>
      <c r="F287" t="s">
        <v>34</v>
      </c>
      <c r="G287">
        <v>0</v>
      </c>
      <c r="H287">
        <v>1</v>
      </c>
      <c r="I287">
        <v>60528012</v>
      </c>
      <c r="J287">
        <v>0</v>
      </c>
      <c r="K287">
        <v>0</v>
      </c>
      <c r="L287">
        <v>33.6</v>
      </c>
      <c r="M287">
        <v>30.422409052928796</v>
      </c>
      <c r="N287">
        <v>63</v>
      </c>
      <c r="O287">
        <v>10.5</v>
      </c>
      <c r="P287">
        <v>0.8</v>
      </c>
      <c r="Q287">
        <v>1</v>
      </c>
      <c r="R287">
        <v>8.26</v>
      </c>
      <c r="S287">
        <v>0.31359999999999999</v>
      </c>
      <c r="T287">
        <v>3.08</v>
      </c>
      <c r="U287">
        <v>3.08</v>
      </c>
      <c r="V287">
        <v>0.1946</v>
      </c>
      <c r="W287">
        <v>0.1946</v>
      </c>
      <c r="X287">
        <v>8.68</v>
      </c>
      <c r="Y287">
        <v>0.2</v>
      </c>
      <c r="Z287">
        <v>0.5</v>
      </c>
      <c r="AA287">
        <v>0</v>
      </c>
      <c r="AB287">
        <v>0.19403999999999996</v>
      </c>
      <c r="AC287">
        <v>0</v>
      </c>
      <c r="AD287">
        <v>0</v>
      </c>
      <c r="AE287">
        <v>0</v>
      </c>
      <c r="AG287">
        <f t="array" ref="AG287:AH287">T1T2(T287,S287,V287,X287,Y287)</f>
        <v>0.80721950684607802</v>
      </c>
      <c r="AH287">
        <v>0.13587832731171967</v>
      </c>
      <c r="AJ287">
        <f t="array" ref="AJ287:AM287">Canay(T287,AB287,S287,V287,AG287,AH287)</f>
        <v>0.68200923564754179</v>
      </c>
      <c r="AK287">
        <v>0.27868877634643768</v>
      </c>
      <c r="AL287">
        <v>0.68081295724651547</v>
      </c>
      <c r="AM287">
        <v>5.6123665850515416E-4</v>
      </c>
      <c r="AO287" s="1">
        <f t="array" ref="AO287:AR287">Niipt(T287,AB287,S287,V287,X287,Y287)</f>
        <v>0</v>
      </c>
      <c r="AP287" s="1">
        <v>0</v>
      </c>
      <c r="AQ287" s="1">
        <v>0</v>
      </c>
      <c r="AR287" s="1">
        <v>0</v>
      </c>
      <c r="AT287" s="1">
        <f t="shared" si="17"/>
        <v>0</v>
      </c>
      <c r="AU287" s="1">
        <f t="shared" si="18"/>
        <v>0</v>
      </c>
      <c r="AV287" s="1">
        <f t="shared" si="19"/>
        <v>0</v>
      </c>
      <c r="AW287" s="1">
        <f t="shared" si="20"/>
        <v>0</v>
      </c>
    </row>
    <row r="288" spans="1:49" x14ac:dyDescent="0.25">
      <c r="A288" t="s">
        <v>31</v>
      </c>
      <c r="B288" t="s">
        <v>31</v>
      </c>
      <c r="C288">
        <v>60528013</v>
      </c>
      <c r="D288" t="s">
        <v>320</v>
      </c>
      <c r="E288">
        <v>60528013</v>
      </c>
      <c r="F288" t="s">
        <v>34</v>
      </c>
      <c r="G288">
        <v>0</v>
      </c>
      <c r="H288">
        <v>1</v>
      </c>
      <c r="I288">
        <v>60528013</v>
      </c>
      <c r="J288">
        <v>0</v>
      </c>
      <c r="K288">
        <v>0</v>
      </c>
      <c r="L288">
        <v>39.6</v>
      </c>
      <c r="M288">
        <v>41.754563531119096</v>
      </c>
      <c r="N288">
        <v>63</v>
      </c>
      <c r="O288">
        <v>10.5</v>
      </c>
      <c r="P288">
        <v>0.8</v>
      </c>
      <c r="Q288">
        <v>1</v>
      </c>
      <c r="R288">
        <v>8.26</v>
      </c>
      <c r="S288">
        <v>0.31359999999999999</v>
      </c>
      <c r="T288">
        <v>2.9665999999999997</v>
      </c>
      <c r="U288">
        <v>3.08</v>
      </c>
      <c r="V288">
        <v>0.1946</v>
      </c>
      <c r="W288">
        <v>0.1946</v>
      </c>
      <c r="X288">
        <v>8.68</v>
      </c>
      <c r="Y288">
        <v>0.17799999999999996</v>
      </c>
      <c r="Z288">
        <v>0.5</v>
      </c>
      <c r="AA288">
        <v>0</v>
      </c>
      <c r="AB288">
        <v>0.18564</v>
      </c>
      <c r="AC288">
        <v>0</v>
      </c>
      <c r="AD288">
        <v>0</v>
      </c>
      <c r="AE288">
        <v>0</v>
      </c>
      <c r="AG288">
        <f t="array" ref="AG288:AH288">T1T2(T288,S288,V288,X288,Y288)</f>
        <v>0.85095973675082148</v>
      </c>
      <c r="AH288">
        <v>0.11910076722797136</v>
      </c>
      <c r="AJ288">
        <f t="array" ref="AJ288:AM288">Canay(T288,AB288,S288,V288,AG288,AH288)</f>
        <v>0.55816527235101188</v>
      </c>
      <c r="AK288">
        <v>0.24111963941691228</v>
      </c>
      <c r="AL288">
        <v>0.81026363918254485</v>
      </c>
      <c r="AM288">
        <v>9.337047580939558E-3</v>
      </c>
      <c r="AO288" s="1">
        <f t="array" ref="AO288:AR288">Niipt(T288,AB288,S288,V288,X288,Y288)</f>
        <v>0</v>
      </c>
      <c r="AP288" s="1">
        <v>0</v>
      </c>
      <c r="AQ288" s="1">
        <v>0</v>
      </c>
      <c r="AR288" s="1">
        <v>0</v>
      </c>
      <c r="AT288" s="1">
        <f t="shared" si="17"/>
        <v>0</v>
      </c>
      <c r="AU288" s="1">
        <f t="shared" si="18"/>
        <v>0</v>
      </c>
      <c r="AV288" s="1">
        <f t="shared" si="19"/>
        <v>0</v>
      </c>
      <c r="AW288" s="1">
        <f t="shared" si="2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Машалов</dc:creator>
  <cp:lastModifiedBy>Евгений Машалов</cp:lastModifiedBy>
  <dcterms:created xsi:type="dcterms:W3CDTF">2021-08-07T21:03:23Z</dcterms:created>
  <dcterms:modified xsi:type="dcterms:W3CDTF">2021-08-07T22:26:34Z</dcterms:modified>
</cp:coreProperties>
</file>